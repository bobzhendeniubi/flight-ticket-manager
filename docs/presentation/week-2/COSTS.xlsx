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已花成本" sheetId="1" state="visible" r:id="rId3"/>
    <sheet name="月成本预估" sheetId="2" state="visible" r:id="rId4"/>
    <sheet name="AI Token 成本" sheetId="3" state="visible" r:id="rId5"/>
    <sheet name="单位经济学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<sst xmlns="http://schemas.openxmlformats.org/spreadsheetml/2006/main" count="96" uniqueCount="88">
  <si>
    <r>
      <rPr>
        <b val="true"/>
        <sz val="14"/>
        <rFont val="PingFang SC"/>
        <family val="2"/>
      </rPr>
      <t xml:space="preserve">开发期已花成本（截至 </t>
    </r>
    <r>
      <rPr>
        <b val="true"/>
        <sz val="14"/>
        <rFont val="Arial"/>
        <family val="0"/>
        <charset val="1"/>
      </rPr>
      <t xml:space="preserve">2026-04-29</t>
    </r>
    <r>
      <rPr>
        <b val="true"/>
        <sz val="14"/>
        <rFont val="PingFang SC"/>
        <family val="2"/>
      </rPr>
      <t xml:space="preserve">）</t>
    </r>
  </si>
  <si>
    <t xml:space="preserve">类别</t>
  </si>
  <si>
    <r>
      <rPr>
        <b val="true"/>
        <sz val="11"/>
        <color rgb="FFFFFFFF"/>
        <rFont val="PingFang SC"/>
        <family val="2"/>
      </rPr>
      <t xml:space="preserve">金额（</t>
    </r>
    <r>
      <rPr>
        <b val="true"/>
        <sz val="11"/>
        <color rgb="FFFFFFFF"/>
        <rFont val="Arial"/>
        <family val="0"/>
        <charset val="1"/>
      </rPr>
      <t xml:space="preserve">USD</t>
    </r>
    <r>
      <rPr>
        <b val="true"/>
        <sz val="11"/>
        <color rgb="FFFFFFFF"/>
        <rFont val="PingFang SC"/>
        <family val="2"/>
      </rPr>
      <t xml:space="preserve">）</t>
    </r>
  </si>
  <si>
    <t xml:space="preserve">说明</t>
  </si>
  <si>
    <r>
      <rPr>
        <sz val="11"/>
        <color theme="1"/>
        <rFont val="Calibri"/>
        <family val="2"/>
        <charset val="1"/>
      </rPr>
      <t xml:space="preserve">AI / LLM API</t>
    </r>
    <r>
      <rPr>
        <sz val="11"/>
        <color theme="1"/>
        <rFont val="PingFang SC"/>
        <family val="2"/>
      </rPr>
      <t xml:space="preserve">（开发期）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</si>
  <si>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PingFang SC"/>
        <family val="2"/>
      </rPr>
      <t xml:space="preserve">个月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PingFang SC"/>
        <family val="2"/>
      </rPr>
      <t xml:space="preserve">助手、</t>
    </r>
    <r>
      <rPr>
        <sz val="11"/>
        <color theme="1"/>
        <rFont val="Calibri"/>
        <family val="2"/>
        <charset val="1"/>
      </rPr>
      <t xml:space="preserve">Codex review</t>
    </r>
    <r>
      <rPr>
        <sz val="11"/>
        <color theme="1"/>
        <rFont val="PingFang SC"/>
        <family val="2"/>
      </rPr>
      <t xml:space="preserve">、测试代码生成、提示工程迭代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</si>
  <si>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PingFang SC"/>
        <family val="2"/>
      </rPr>
      <t xml:space="preserve">编码工具订阅</t>
    </r>
  </si>
  <si>
    <r>
      <rPr>
        <sz val="11"/>
        <color theme="1"/>
        <rFont val="Calibri"/>
        <family val="2"/>
        <charset val="1"/>
      </rPr>
      <t xml:space="preserve">Cursor / Claude Code / Codex </t>
    </r>
    <r>
      <rPr>
        <sz val="11"/>
        <color theme="1"/>
        <rFont val="PingFang SC"/>
        <family val="2"/>
      </rPr>
      <t xml:space="preserve">订阅</t>
    </r>
  </si>
  <si>
    <r>
      <rPr>
        <sz val="11"/>
        <color theme="1"/>
        <rFont val="PingFang SC"/>
        <family val="2"/>
      </rPr>
      <t xml:space="preserve">服务器（阿里云 </t>
    </r>
    <r>
      <rPr>
        <sz val="11"/>
        <color theme="1"/>
        <rFont val="Calibri"/>
        <family val="2"/>
        <charset val="1"/>
      </rPr>
      <t xml:space="preserve">HK</t>
    </r>
    <r>
      <rPr>
        <sz val="11"/>
        <color theme="1"/>
        <rFont val="PingFang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</si>
  <si>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4C8G </t>
    </r>
    <r>
      <rPr>
        <sz val="11"/>
        <color theme="1"/>
        <rFont val="PingFang SC"/>
        <family val="2"/>
      </rPr>
      <t xml:space="preserve">轻量实例 包月 </t>
    </r>
    <r>
      <rPr>
        <sz val="11"/>
        <color theme="1"/>
        <rFont val="Calibri"/>
        <family val="2"/>
        <charset val="1"/>
      </rPr>
      <t xml:space="preserve">~$32 × 6 </t>
    </r>
    <r>
      <rPr>
        <sz val="11"/>
        <color theme="1"/>
        <rFont val="PingFang SC"/>
        <family val="2"/>
      </rPr>
      <t xml:space="preserve">期</t>
    </r>
  </si>
  <si>
    <r>
      <rPr>
        <sz val="11"/>
        <color theme="1"/>
        <rFont val="PingFang SC"/>
        <family val="2"/>
      </rPr>
      <t xml:space="preserve">域名 </t>
    </r>
    <r>
      <rPr>
        <sz val="11"/>
        <color theme="1"/>
        <rFont val="Calibri"/>
        <family val="2"/>
        <charset val="1"/>
      </rPr>
      <t xml:space="preserve">+ DNS</t>
    </r>
  </si>
  <si>
    <r>
      <rPr>
        <sz val="11"/>
        <color theme="1"/>
        <rFont val="PingFang SC"/>
        <family val="2"/>
      </rPr>
      <t xml:space="preserve">备用域名 </t>
    </r>
    <r>
      <rPr>
        <sz val="11"/>
        <color theme="1"/>
        <rFont val="Calibri"/>
        <family val="2"/>
        <charset val="1"/>
      </rPr>
      <t xml:space="preserve">+ Cloudflare </t>
    </r>
    <r>
      <rPr>
        <sz val="11"/>
        <color theme="1"/>
        <rFont val="PingFang SC"/>
        <family val="2"/>
      </rPr>
      <t xml:space="preserve">免费层试用</t>
    </r>
  </si>
  <si>
    <t xml:space="preserve">GitHub / CI</t>
  </si>
  <si>
    <r>
      <rPr>
        <sz val="11"/>
        <color theme="1"/>
        <rFont val="Calibri"/>
        <family val="2"/>
        <charset val="1"/>
      </rPr>
      <t xml:space="preserve">Actions </t>
    </r>
    <r>
      <rPr>
        <sz val="11"/>
        <color theme="1"/>
        <rFont val="PingFang SC"/>
        <family val="2"/>
      </rPr>
      <t xml:space="preserve">分钟、</t>
    </r>
    <r>
      <rPr>
        <sz val="11"/>
        <color theme="1"/>
        <rFont val="Calibri"/>
        <family val="2"/>
        <charset val="1"/>
      </rPr>
      <t xml:space="preserve">Codespaces </t>
    </r>
    <r>
      <rPr>
        <sz val="11"/>
        <color theme="1"/>
        <rFont val="PingFang SC"/>
        <family val="2"/>
      </rPr>
      <t xml:space="preserve">偶尔用</t>
    </r>
  </si>
  <si>
    <r>
      <rPr>
        <sz val="11"/>
        <color theme="1"/>
        <rFont val="Calibri"/>
        <family val="2"/>
        <charset val="1"/>
      </rPr>
      <t xml:space="preserve">OpenAI / </t>
    </r>
    <r>
      <rPr>
        <sz val="11"/>
        <color theme="1"/>
        <rFont val="PingFang SC"/>
        <family val="2"/>
      </rPr>
      <t xml:space="preserve">模型对比测试</t>
    </r>
  </si>
  <si>
    <r>
      <rPr>
        <sz val="11"/>
        <color theme="1"/>
        <rFont val="PingFang SC"/>
        <family val="2"/>
      </rPr>
      <t xml:space="preserve">早期对比 </t>
    </r>
    <r>
      <rPr>
        <sz val="11"/>
        <color theme="1"/>
        <rFont val="Calibri"/>
        <family val="2"/>
        <charset val="1"/>
      </rPr>
      <t xml:space="preserve">Claude vs GPT </t>
    </r>
    <r>
      <rPr>
        <sz val="11"/>
        <color theme="1"/>
        <rFont val="PingFang SC"/>
        <family val="2"/>
      </rPr>
      <t xml:space="preserve">选模型</t>
    </r>
  </si>
  <si>
    <t xml:space="preserve">杂项</t>
  </si>
  <si>
    <r>
      <rPr>
        <sz val="11"/>
        <color theme="1"/>
        <rFont val="PingFang SC"/>
        <family val="2"/>
      </rPr>
      <t xml:space="preserve">图床（</t>
    </r>
    <r>
      <rPr>
        <sz val="11"/>
        <color theme="1"/>
        <rFont val="Calibri"/>
        <family val="2"/>
        <charset val="1"/>
      </rPr>
      <t xml:space="preserve">Unsplash CDN</t>
    </r>
    <r>
      <rPr>
        <sz val="11"/>
        <color theme="1"/>
        <rFont val="PingFang SC"/>
        <family val="2"/>
      </rPr>
      <t xml:space="preserve">）、字体、人工核对越南语</t>
    </r>
  </si>
  <si>
    <r>
      <rPr>
        <sz val="11"/>
        <color theme="1"/>
        <rFont val="PingFang SC"/>
        <family val="2"/>
      </rPr>
      <t xml:space="preserve">图标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设计素材</t>
    </r>
  </si>
  <si>
    <r>
      <rPr>
        <sz val="11"/>
        <color theme="1"/>
        <rFont val="Calibri"/>
        <family val="2"/>
        <charset val="1"/>
      </rPr>
      <t xml:space="preserve">Figma </t>
    </r>
    <r>
      <rPr>
        <sz val="11"/>
        <color theme="1"/>
        <rFont val="PingFang SC"/>
        <family val="2"/>
      </rPr>
      <t xml:space="preserve">订阅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一些图标</t>
    </r>
  </si>
  <si>
    <r>
      <rPr>
        <sz val="11"/>
        <color theme="1"/>
        <rFont val="PingFang SC"/>
        <family val="2"/>
      </rPr>
      <t xml:space="preserve">预留 </t>
    </r>
    <r>
      <rPr>
        <sz val="11"/>
        <color theme="1"/>
        <rFont val="Calibri"/>
        <family val="2"/>
        <charset val="1"/>
      </rPr>
      <t xml:space="preserve">buffer</t>
    </r>
  </si>
  <si>
    <r>
      <rPr>
        <sz val="11"/>
        <color theme="1"/>
        <rFont val="PingFang SC"/>
        <family val="2"/>
      </rPr>
      <t xml:space="preserve">重启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调错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数据库迁移期间小额浪费</t>
    </r>
  </si>
  <si>
    <t xml:space="preserve">合计（已花）</t>
  </si>
  <si>
    <r>
      <rPr>
        <i val="true"/>
        <sz val="11"/>
        <rFont val="Arial"/>
        <family val="0"/>
        <charset val="1"/>
      </rPr>
      <t xml:space="preserve">AI </t>
    </r>
    <r>
      <rPr>
        <i val="true"/>
        <sz val="11"/>
        <rFont val="PingFang SC"/>
        <family val="2"/>
      </rPr>
      <t xml:space="preserve">占比（</t>
    </r>
    <r>
      <rPr>
        <i val="true"/>
        <sz val="11"/>
        <rFont val="Arial"/>
        <family val="0"/>
        <charset val="1"/>
      </rPr>
      <t xml:space="preserve">API + </t>
    </r>
    <r>
      <rPr>
        <i val="true"/>
        <sz val="11"/>
        <rFont val="PingFang SC"/>
        <family val="2"/>
      </rPr>
      <t xml:space="preserve">工具 </t>
    </r>
    <r>
      <rPr>
        <i val="true"/>
        <sz val="11"/>
        <rFont val="Arial"/>
        <family val="0"/>
        <charset val="1"/>
      </rPr>
      <t xml:space="preserve">+ </t>
    </r>
    <r>
      <rPr>
        <i val="true"/>
        <sz val="11"/>
        <rFont val="PingFang SC"/>
        <family val="2"/>
      </rPr>
      <t xml:space="preserve">测试）</t>
    </r>
  </si>
  <si>
    <r>
      <rPr>
        <b val="true"/>
        <sz val="14"/>
        <rFont val="PingFang SC"/>
        <family val="2"/>
      </rPr>
      <t xml:space="preserve">投产后月成本预估（</t>
    </r>
    <r>
      <rPr>
        <b val="true"/>
        <sz val="14"/>
        <rFont val="Arial"/>
        <family val="0"/>
        <charset val="1"/>
      </rPr>
      <t xml:space="preserve">3 </t>
    </r>
    <r>
      <rPr>
        <b val="true"/>
        <sz val="14"/>
        <rFont val="PingFang SC"/>
        <family val="2"/>
      </rPr>
      <t xml:space="preserve">阶段）</t>
    </r>
  </si>
  <si>
    <r>
      <rPr>
        <i val="true"/>
        <sz val="10"/>
        <color rgb="FF666666"/>
        <rFont val="PingFang SC"/>
        <family val="2"/>
      </rPr>
      <t xml:space="preserve">蓝色 </t>
    </r>
    <r>
      <rPr>
        <i val="true"/>
        <sz val="10"/>
        <color rgb="FF666666"/>
        <rFont val="Arial"/>
        <family val="0"/>
        <charset val="1"/>
      </rPr>
      <t xml:space="preserve">= </t>
    </r>
    <r>
      <rPr>
        <i val="true"/>
        <sz val="10"/>
        <color rgb="FF666666"/>
        <rFont val="PingFang SC"/>
        <family val="2"/>
      </rPr>
      <t xml:space="preserve">假设输入；黑色 </t>
    </r>
    <r>
      <rPr>
        <i val="true"/>
        <sz val="10"/>
        <color rgb="FF666666"/>
        <rFont val="Arial"/>
        <family val="0"/>
        <charset val="1"/>
      </rPr>
      <t xml:space="preserve">= </t>
    </r>
    <r>
      <rPr>
        <i val="true"/>
        <sz val="10"/>
        <color rgb="FF666666"/>
        <rFont val="PingFang SC"/>
        <family val="2"/>
      </rPr>
      <t xml:space="preserve">公式合计；金额单位：</t>
    </r>
    <r>
      <rPr>
        <i val="true"/>
        <sz val="10"/>
        <color rgb="FF666666"/>
        <rFont val="Arial"/>
        <family val="0"/>
        <charset val="1"/>
      </rPr>
      <t xml:space="preserve">USD/</t>
    </r>
    <r>
      <rPr>
        <i val="true"/>
        <sz val="10"/>
        <color rgb="FF666666"/>
        <rFont val="PingFang SC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</si>
  <si>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A · </t>
    </r>
    <r>
      <rPr>
        <b val="true"/>
        <sz val="11"/>
        <color rgb="FFFFFFFF"/>
        <rFont val="PingFang SC"/>
        <family val="2"/>
      </rPr>
      <t xml:space="preserve">内部测试期</t>
    </r>
  </si>
  <si>
    <r>
      <rPr>
        <b val="true"/>
        <sz val="11"/>
        <color rgb="FFFFFFFF"/>
        <rFont val="Arial"/>
        <family val="0"/>
        <charset val="1"/>
      </rPr>
      <t xml:space="preserve">B · </t>
    </r>
    <r>
      <rPr>
        <b val="true"/>
        <sz val="11"/>
        <color rgb="FFFFFFFF"/>
        <rFont val="PingFang SC"/>
        <family val="2"/>
      </rPr>
      <t xml:space="preserve">公测期 </t>
    </r>
    <r>
      <rPr>
        <b val="true"/>
        <sz val="11"/>
        <color rgb="FFFFFFFF"/>
        <rFont val="Arial"/>
        <family val="0"/>
        <charset val="1"/>
      </rPr>
      <t xml:space="preserve">(~500 </t>
    </r>
    <r>
      <rPr>
        <b val="true"/>
        <sz val="11"/>
        <color rgb="FFFFFFFF"/>
        <rFont val="PingFang SC"/>
        <family val="2"/>
      </rPr>
      <t xml:space="preserve">客户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</si>
  <si>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C · </t>
    </r>
    <r>
      <rPr>
        <b val="true"/>
        <sz val="11"/>
        <color rgb="FFFFFFFF"/>
        <rFont val="PingFang SC"/>
        <family val="2"/>
      </rPr>
      <t xml:space="preserve">稳定期 </t>
    </r>
    <r>
      <rPr>
        <b val="true"/>
        <sz val="11"/>
        <color rgb="FFFFFFFF"/>
        <rFont val="Arial"/>
        <family val="0"/>
        <charset val="1"/>
      </rPr>
      <t xml:space="preserve">(~5000 </t>
    </r>
    <r>
      <rPr>
        <b val="true"/>
        <sz val="11"/>
        <color rgb="FFFFFFFF"/>
        <rFont val="PingFang SC"/>
        <family val="2"/>
      </rPr>
      <t xml:space="preserve">客户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</si>
  <si>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AI / Token</t>
  </si>
  <si>
    <r>
      <rPr>
        <sz val="11"/>
        <color theme="1"/>
        <rFont val="PingFang SC"/>
        <family val="2"/>
      </rPr>
      <t xml:space="preserve">对话量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PingFang SC"/>
        <family val="2"/>
      </rPr>
      <t xml:space="preserve">单价；</t>
    </r>
    <r>
      <rPr>
        <sz val="11"/>
        <color theme="1"/>
        <rFont val="Calibri"/>
        <family val="2"/>
        <charset val="1"/>
      </rPr>
      <t xml:space="preserve">A: 50-200/</t>
    </r>
    <r>
      <rPr>
        <sz val="11"/>
        <color theme="1"/>
        <rFont val="PingFang SC"/>
        <family val="2"/>
      </rPr>
      <t xml:space="preserve">天 ｜ </t>
    </r>
    <r>
      <rPr>
        <sz val="11"/>
        <color theme="1"/>
        <rFont val="Calibri"/>
        <family val="2"/>
        <charset val="1"/>
      </rPr>
      <t xml:space="preserve">B: 500-1500/</t>
    </r>
    <r>
      <rPr>
        <sz val="11"/>
        <color theme="1"/>
        <rFont val="PingFang SC"/>
        <family val="2"/>
      </rPr>
      <t xml:space="preserve">天 ｜ </t>
    </r>
    <r>
      <rPr>
        <sz val="11"/>
        <color theme="1"/>
        <rFont val="Calibri"/>
        <family val="2"/>
        <charset val="1"/>
      </rPr>
      <t xml:space="preserve">C: 3000-8000/</t>
    </r>
    <r>
      <rPr>
        <sz val="11"/>
        <color theme="1"/>
        <rFont val="PingFang SC"/>
        <family val="2"/>
      </rPr>
      <t xml:space="preserve">天</t>
    </r>
  </si>
  <si>
    <t xml:space="preserve">服务器</t>
  </si>
  <si>
    <r>
      <rPr>
        <sz val="11"/>
        <color theme="1"/>
        <rFont val="PingFang SC"/>
        <family val="2"/>
      </rPr>
      <t xml:space="preserve">阿里云 </t>
    </r>
    <r>
      <rPr>
        <sz val="11"/>
        <color theme="1"/>
        <rFont val="Calibri"/>
        <family val="2"/>
        <charset val="1"/>
      </rPr>
      <t xml:space="preserve">HK 4C8G → 8C16G + </t>
    </r>
    <r>
      <rPr>
        <sz val="11"/>
        <color theme="1"/>
        <rFont val="PingFang SC"/>
        <family val="2"/>
      </rPr>
      <t xml:space="preserve">备份机 → 主从 </t>
    </r>
    <r>
      <rPr>
        <sz val="11"/>
        <color theme="1"/>
        <rFont val="Calibri"/>
        <family val="2"/>
        <charset val="1"/>
      </rPr>
      <t xml:space="preserve">+ worker</t>
    </r>
  </si>
  <si>
    <r>
      <rPr>
        <sz val="11"/>
        <color theme="1"/>
        <rFont val="PingFang SC"/>
        <family val="2"/>
      </rPr>
      <t xml:space="preserve">数据库（独立 </t>
    </r>
    <r>
      <rPr>
        <sz val="11"/>
        <color theme="1"/>
        <rFont val="Calibri"/>
        <family val="2"/>
        <charset val="1"/>
      </rPr>
      <t xml:space="preserve">RDS</t>
    </r>
    <r>
      <rPr>
        <sz val="11"/>
        <color theme="1"/>
        <rFont val="PingFang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</si>
  <si>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PingFang SC"/>
        <family val="2"/>
      </rPr>
      <t xml:space="preserve">起独立 </t>
    </r>
    <r>
      <rPr>
        <sz val="11"/>
        <color theme="1"/>
        <rFont val="Calibri"/>
        <family val="2"/>
        <charset val="1"/>
      </rPr>
      <t xml:space="preserve">4G</t>
    </r>
    <r>
      <rPr>
        <sz val="11"/>
        <color theme="1"/>
        <rFont val="PingFang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PingFang SC"/>
        <family val="2"/>
      </rPr>
      <t xml:space="preserve">主从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PingFang SC"/>
        <family val="2"/>
      </rPr>
      <t xml:space="preserve">自动备份</t>
    </r>
  </si>
  <si>
    <r>
      <rPr>
        <sz val="11"/>
        <color theme="1"/>
        <rFont val="Calibri"/>
        <family val="2"/>
        <charset val="1"/>
      </rPr>
      <t xml:space="preserve">CDN</t>
    </r>
    <r>
      <rPr>
        <sz val="11"/>
        <color theme="1"/>
        <rFont val="PingFang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Cloudflare</t>
    </r>
    <r>
      <rPr>
        <sz val="11"/>
        <color theme="1"/>
        <rFont val="PingFang SC"/>
        <family val="2"/>
      </rPr>
      <t xml:space="preserve">）</t>
    </r>
  </si>
  <si>
    <r>
      <rPr>
        <sz val="11"/>
        <color theme="1"/>
        <rFont val="PingFang SC"/>
        <family val="2"/>
      </rPr>
      <t xml:space="preserve">免费 → </t>
    </r>
    <r>
      <rPr>
        <sz val="11"/>
        <color theme="1"/>
        <rFont val="Calibri"/>
        <family val="2"/>
        <charset val="1"/>
      </rPr>
      <t xml:space="preserve">Pro $20 → Business $200</t>
    </r>
    <r>
      <rPr>
        <sz val="11"/>
        <color theme="1"/>
        <rFont val="PingFang SC"/>
        <family val="2"/>
      </rPr>
      <t xml:space="preserve">，按流量分级</t>
    </r>
  </si>
  <si>
    <r>
      <rPr>
        <sz val="11"/>
        <color theme="1"/>
        <rFont val="PingFang SC"/>
        <family val="2"/>
      </rPr>
      <t xml:space="preserve">邮件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PingFang SC"/>
        <family val="2"/>
      </rPr>
      <t xml:space="preserve">短信</t>
    </r>
  </si>
  <si>
    <r>
      <rPr>
        <sz val="11"/>
        <color theme="1"/>
        <rFont val="PingFang SC"/>
        <family val="2"/>
      </rPr>
      <t xml:space="preserve">阿里云通信 </t>
    </r>
    <r>
      <rPr>
        <sz val="11"/>
        <color theme="1"/>
        <rFont val="Calibri"/>
        <family val="2"/>
        <charset val="1"/>
      </rPr>
      <t xml:space="preserve">/ Twilio </t>
    </r>
    <r>
      <rPr>
        <sz val="11"/>
        <color theme="1"/>
        <rFont val="PingFang SC"/>
        <family val="2"/>
      </rPr>
      <t xml:space="preserve">按量计费</t>
    </r>
  </si>
  <si>
    <r>
      <rPr>
        <sz val="11"/>
        <color theme="1"/>
        <rFont val="PingFang SC"/>
        <family val="2"/>
      </rPr>
      <t xml:space="preserve">监控（</t>
    </r>
    <r>
      <rPr>
        <sz val="11"/>
        <color theme="1"/>
        <rFont val="Calibri"/>
        <family val="2"/>
        <charset val="1"/>
      </rPr>
      <t xml:space="preserve">Sentry + </t>
    </r>
    <r>
      <rPr>
        <sz val="11"/>
        <color theme="1"/>
        <rFont val="PingFang SC"/>
        <family val="2"/>
      </rPr>
      <t xml:space="preserve">日志）</t>
    </r>
  </si>
  <si>
    <r>
      <rPr>
        <sz val="11"/>
        <color theme="1"/>
        <rFont val="Calibri"/>
        <family val="2"/>
        <charset val="1"/>
      </rPr>
      <t xml:space="preserve">Team plan + </t>
    </r>
    <r>
      <rPr>
        <sz val="11"/>
        <color theme="1"/>
        <rFont val="PingFang SC"/>
        <family val="2"/>
      </rPr>
      <t xml:space="preserve">日志聚合</t>
    </r>
  </si>
  <si>
    <r>
      <rPr>
        <sz val="11"/>
        <color theme="1"/>
        <rFont val="PingFang SC"/>
        <family val="2"/>
      </rPr>
      <t xml:space="preserve">其他（域名</t>
    </r>
    <r>
      <rPr>
        <sz val="11"/>
        <color theme="1"/>
        <rFont val="Calibri"/>
        <family val="2"/>
        <charset val="1"/>
      </rPr>
      <t xml:space="preserve">/SSL/</t>
    </r>
    <r>
      <rPr>
        <sz val="11"/>
        <color theme="1"/>
        <rFont val="PingFang SC"/>
        <family val="2"/>
      </rPr>
      <t xml:space="preserve">备份）</t>
    </r>
  </si>
  <si>
    <r>
      <rPr>
        <sz val="11"/>
        <color theme="1"/>
        <rFont val="PingFang SC"/>
        <family val="2"/>
      </rPr>
      <t xml:space="preserve">域名续费、</t>
    </r>
    <r>
      <rPr>
        <sz val="11"/>
        <color theme="1"/>
        <rFont val="Calibri"/>
        <family val="2"/>
        <charset val="1"/>
      </rPr>
      <t xml:space="preserve">SSL </t>
    </r>
    <r>
      <rPr>
        <sz val="11"/>
        <color theme="1"/>
        <rFont val="PingFang SC"/>
        <family val="2"/>
      </rPr>
      <t xml:space="preserve">免费、备份外发</t>
    </r>
  </si>
  <si>
    <t xml:space="preserve">月成本合计</t>
  </si>
  <si>
    <r>
      <rPr>
        <i val="true"/>
        <sz val="11"/>
        <rFont val="Arial"/>
        <family val="0"/>
        <charset val="1"/>
      </rPr>
      <t xml:space="preserve">× 12 </t>
    </r>
    <r>
      <rPr>
        <i val="true"/>
        <sz val="11"/>
        <rFont val="PingFang SC"/>
        <family val="2"/>
      </rPr>
      <t xml:space="preserve">月（年）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</si>
  <si>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PingFang SC"/>
        <family val="2"/>
      </rPr>
      <t xml:space="preserve">单次对话成本（</t>
    </r>
    <r>
      <rPr>
        <b val="true"/>
        <sz val="14"/>
        <rFont val="Arial"/>
        <family val="0"/>
        <charset val="1"/>
      </rPr>
      <t xml:space="preserve">Claude Sonnet 4.6 </t>
    </r>
    <r>
      <rPr>
        <b val="true"/>
        <sz val="14"/>
        <rFont val="PingFang SC"/>
        <family val="2"/>
      </rPr>
      <t xml:space="preserve">定价）</t>
    </r>
  </si>
  <si>
    <r>
      <rPr>
        <b val="true"/>
        <sz val="11"/>
        <rFont val="PingFang SC"/>
        <family val="2"/>
      </rPr>
      <t xml:space="preserve">定价（</t>
    </r>
    <r>
      <rPr>
        <b val="true"/>
        <sz val="11"/>
        <rFont val="Arial"/>
        <family val="0"/>
        <charset val="1"/>
      </rPr>
      <t xml:space="preserve">USD per 1M tokens</t>
    </r>
    <r>
      <rPr>
        <b val="true"/>
        <sz val="11"/>
        <rFont val="PingFang SC"/>
        <family val="2"/>
      </rPr>
      <t xml:space="preserve">）</t>
    </r>
  </si>
  <si>
    <r>
      <rPr>
        <sz val="11"/>
        <color theme="1"/>
        <rFont val="PingFang SC"/>
        <family val="2"/>
      </rPr>
      <t xml:space="preserve">输入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</si>
  <si>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PingFang SC"/>
        <family val="2"/>
      </rPr>
      <t xml:space="preserve">输出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</si>
  <si>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PingFang SC"/>
        <family val="2"/>
      </rPr>
      <t xml:space="preserve">缓存读取（输入打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PingFang SC"/>
        <family val="2"/>
      </rPr>
      <t xml:space="preserve">折）</t>
    </r>
  </si>
  <si>
    <r>
      <rPr>
        <b val="true"/>
        <sz val="11"/>
        <rFont val="PingFang SC"/>
        <family val="2"/>
      </rPr>
      <t xml:space="preserve">单次对话假设（</t>
    </r>
    <r>
      <rPr>
        <b val="true"/>
        <sz val="11"/>
        <rFont val="Arial"/>
        <family val="0"/>
        <charset val="1"/>
      </rPr>
      <t xml:space="preserve">5 </t>
    </r>
    <r>
      <rPr>
        <b val="true"/>
        <sz val="11"/>
        <rFont val="PingFang SC"/>
        <family val="2"/>
      </rPr>
      <t xml:space="preserve">个轮次平均）</t>
    </r>
  </si>
  <si>
    <r>
      <rPr>
        <sz val="11"/>
        <color theme="1"/>
        <rFont val="PingFang SC"/>
        <family val="2"/>
      </rPr>
      <t xml:space="preserve">输入 </t>
    </r>
    <r>
      <rPr>
        <sz val="11"/>
        <color theme="1"/>
        <rFont val="Calibri"/>
        <family val="2"/>
        <charset val="1"/>
      </rPr>
      <t xml:space="preserve">tokens</t>
    </r>
    <r>
      <rPr>
        <sz val="11"/>
        <color theme="1"/>
        <rFont val="PingFang SC"/>
        <family val="2"/>
      </rPr>
      <t xml:space="preserve">（无缓存）</t>
    </r>
  </si>
  <si>
    <r>
      <rPr>
        <sz val="11"/>
        <color theme="1"/>
        <rFont val="PingFang SC"/>
        <family val="2"/>
      </rPr>
      <t xml:space="preserve">输入 </t>
    </r>
    <r>
      <rPr>
        <sz val="11"/>
        <color theme="1"/>
        <rFont val="Calibri"/>
        <family val="2"/>
        <charset val="1"/>
      </rPr>
      <t xml:space="preserve">tokens</t>
    </r>
    <r>
      <rPr>
        <sz val="11"/>
        <color theme="1"/>
        <rFont val="PingFang SC"/>
        <family val="2"/>
      </rPr>
      <t xml:space="preserve">（缓存命中）</t>
    </r>
  </si>
  <si>
    <r>
      <rPr>
        <sz val="11"/>
        <color theme="1"/>
        <rFont val="PingFang SC"/>
        <family val="2"/>
      </rPr>
      <t xml:space="preserve">输入 </t>
    </r>
    <r>
      <rPr>
        <sz val="11"/>
        <color theme="1"/>
        <rFont val="Calibri"/>
        <family val="2"/>
        <charset val="1"/>
      </rPr>
      <t xml:space="preserve">tokens</t>
    </r>
    <r>
      <rPr>
        <sz val="11"/>
        <color theme="1"/>
        <rFont val="PingFang SC"/>
        <family val="2"/>
      </rPr>
      <t xml:space="preserve">（缓存未命中）</t>
    </r>
  </si>
  <si>
    <r>
      <rPr>
        <sz val="11"/>
        <color theme="1"/>
        <rFont val="PingFang SC"/>
        <family val="2"/>
      </rPr>
      <t xml:space="preserve">输出 </t>
    </r>
    <r>
      <rPr>
        <sz val="11"/>
        <color theme="1"/>
        <rFont val="Calibri"/>
        <family val="2"/>
        <charset val="1"/>
      </rPr>
      <t xml:space="preserve">tokens</t>
    </r>
  </si>
  <si>
    <t xml:space="preserve">成本计算</t>
  </si>
  <si>
    <r>
      <rPr>
        <i val="true"/>
        <sz val="11"/>
        <rFont val="PingFang SC"/>
        <family val="2"/>
      </rPr>
      <t xml:space="preserve">不带 </t>
    </r>
    <r>
      <rPr>
        <i val="true"/>
        <sz val="11"/>
        <rFont val="Arial"/>
        <family val="0"/>
        <charset val="1"/>
      </rPr>
      <t xml:space="preserve">prompt caching</t>
    </r>
  </si>
  <si>
    <t xml:space="preserve">输入成本</t>
  </si>
  <si>
    <t xml:space="preserve">输出成本</t>
  </si>
  <si>
    <t xml:space="preserve">对话总成本（无缓存）</t>
  </si>
  <si>
    <r>
      <rPr>
        <i val="true"/>
        <sz val="11"/>
        <rFont val="PingFang SC"/>
        <family val="2"/>
      </rPr>
      <t xml:space="preserve">启用 </t>
    </r>
    <r>
      <rPr>
        <i val="true"/>
        <sz val="11"/>
        <rFont val="Arial"/>
        <family val="0"/>
        <charset val="1"/>
      </rPr>
      <t xml:space="preserve">prompt caching</t>
    </r>
  </si>
  <si>
    <t xml:space="preserve">缓存读取成本</t>
  </si>
  <si>
    <t xml:space="preserve">全价输入成本</t>
  </si>
  <si>
    <t xml:space="preserve">对话总成本（含缓存）</t>
  </si>
  <si>
    <t xml:space="preserve">省下</t>
  </si>
  <si>
    <t xml:space="preserve">对话量 → 月成本预估（含缓存）</t>
  </si>
  <si>
    <r>
      <rPr>
        <b val="true"/>
        <sz val="11"/>
        <color rgb="FFFFFFFF"/>
        <rFont val="PingFang SC"/>
        <family val="2"/>
      </rPr>
      <t xml:space="preserve">对话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PingFang SC"/>
        <family val="2"/>
      </rPr>
      <t xml:space="preserve">天</t>
    </r>
  </si>
  <si>
    <r>
      <rPr>
        <b val="true"/>
        <sz val="11"/>
        <color rgb="FFFFFFFF"/>
        <rFont val="PingFang SC"/>
        <family val="2"/>
      </rPr>
      <t xml:space="preserve">对话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PingFang SC"/>
        <family val="2"/>
      </rPr>
      <t xml:space="preserve">月</t>
    </r>
  </si>
  <si>
    <r>
      <rPr>
        <b val="true"/>
        <sz val="11"/>
        <color rgb="FFFFFFFF"/>
        <rFont val="PingFang SC"/>
        <family val="2"/>
      </rPr>
      <t xml:space="preserve">月成本（</t>
    </r>
    <r>
      <rPr>
        <b val="true"/>
        <sz val="11"/>
        <color rgb="FFFFFFFF"/>
        <rFont val="Arial"/>
        <family val="0"/>
        <charset val="1"/>
      </rPr>
      <t xml:space="preserve">USD</t>
    </r>
    <r>
      <rPr>
        <b val="true"/>
        <sz val="11"/>
        <color rgb="FFFFFFFF"/>
        <rFont val="PingFang SC"/>
        <family val="2"/>
      </rPr>
      <t xml:space="preserve">）</t>
    </r>
  </si>
  <si>
    <r>
      <rPr>
        <b val="true"/>
        <sz val="11"/>
        <color rgb="FFFFFFFF"/>
        <rFont val="PingFang SC"/>
        <family val="2"/>
      </rPr>
      <t xml:space="preserve">年成本（</t>
    </r>
    <r>
      <rPr>
        <b val="true"/>
        <sz val="11"/>
        <color rgb="FFFFFFFF"/>
        <rFont val="Arial"/>
        <family val="0"/>
        <charset val="1"/>
      </rPr>
      <t xml:space="preserve">USD</t>
    </r>
    <r>
      <rPr>
        <b val="true"/>
        <sz val="11"/>
        <color rgb="FFFFFFFF"/>
        <rFont val="PingFang SC"/>
        <family val="2"/>
      </rPr>
      <t xml:space="preserve">）</t>
    </r>
  </si>
  <si>
    <r>
      <rPr>
        <b val="true"/>
        <sz val="14"/>
        <rFont val="PingFang SC"/>
        <family val="2"/>
      </rPr>
      <t xml:space="preserve">单位经济学（成本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PingFang SC"/>
        <family val="2"/>
      </rPr>
      <t xml:space="preserve">收入）</t>
    </r>
  </si>
  <si>
    <r>
      <rPr>
        <i val="true"/>
        <sz val="10"/>
        <color rgb="FF666666"/>
        <rFont val="PingFang SC"/>
        <family val="2"/>
      </rPr>
      <t xml:space="preserve">蓝色 </t>
    </r>
    <r>
      <rPr>
        <i val="true"/>
        <sz val="10"/>
        <color rgb="FF666666"/>
        <rFont val="Arial"/>
        <family val="0"/>
        <charset val="1"/>
      </rPr>
      <t xml:space="preserve">= </t>
    </r>
    <r>
      <rPr>
        <i val="true"/>
        <sz val="10"/>
        <color rgb="FF666666"/>
        <rFont val="PingFang SC"/>
        <family val="2"/>
      </rPr>
      <t xml:space="preserve">假设；黑色 </t>
    </r>
    <r>
      <rPr>
        <i val="true"/>
        <sz val="10"/>
        <color rgb="FF666666"/>
        <rFont val="Arial"/>
        <family val="0"/>
        <charset val="1"/>
      </rPr>
      <t xml:space="preserve">= </t>
    </r>
    <r>
      <rPr>
        <i val="true"/>
        <sz val="10"/>
        <color rgb="FF666666"/>
        <rFont val="PingFang SC"/>
        <family val="2"/>
      </rPr>
      <t xml:space="preserve">公式；绿色 </t>
    </r>
    <r>
      <rPr>
        <i val="true"/>
        <sz val="10"/>
        <color rgb="FF666666"/>
        <rFont val="Arial"/>
        <family val="0"/>
        <charset val="1"/>
      </rPr>
      <t xml:space="preserve">= </t>
    </r>
    <r>
      <rPr>
        <i val="true"/>
        <sz val="10"/>
        <color rgb="FF666666"/>
        <rFont val="PingFang SC"/>
        <family val="2"/>
      </rPr>
      <t xml:space="preserve">跨表引用</t>
    </r>
  </si>
  <si>
    <r>
      <rPr>
        <sz val="11"/>
        <color theme="1"/>
        <rFont val="PingFang SC"/>
        <family val="2"/>
      </rPr>
      <t xml:space="preserve">汇率 </t>
    </r>
    <r>
      <rPr>
        <sz val="11"/>
        <color theme="1"/>
        <rFont val="Calibri"/>
        <family val="2"/>
        <charset val="1"/>
      </rPr>
      <t xml:space="preserve">CNY → USD</t>
    </r>
  </si>
  <si>
    <t xml:space="preserve">平台抽成率</t>
  </si>
  <si>
    <t xml:space="preserve">阶段</t>
  </si>
  <si>
    <t xml:space="preserve">月单量</t>
  </si>
  <si>
    <r>
      <rPr>
        <b val="true"/>
        <sz val="11"/>
        <color rgb="FFFFFFFF"/>
        <rFont val="PingFang SC"/>
        <family val="2"/>
      </rPr>
      <t xml:space="preserve">客单价（</t>
    </r>
    <r>
      <rPr>
        <b val="true"/>
        <sz val="11"/>
        <color rgb="FFFFFFFF"/>
        <rFont val="Arial"/>
        <family val="0"/>
        <charset val="1"/>
      </rPr>
      <t xml:space="preserve">¥</t>
    </r>
    <r>
      <rPr>
        <b val="true"/>
        <sz val="11"/>
        <color rgb="FFFFFFFF"/>
        <rFont val="PingFang SC"/>
        <family val="2"/>
      </rPr>
      <t xml:space="preserve">）</t>
    </r>
  </si>
  <si>
    <r>
      <rPr>
        <b val="true"/>
        <sz val="11"/>
        <color rgb="FFFFFFFF"/>
        <rFont val="PingFang SC"/>
        <family val="2"/>
      </rPr>
      <t xml:space="preserve">月 </t>
    </r>
    <r>
      <rPr>
        <b val="true"/>
        <sz val="11"/>
        <color rgb="FFFFFFFF"/>
        <rFont val="Arial"/>
        <family val="0"/>
        <charset val="1"/>
      </rPr>
      <t xml:space="preserve">GMV</t>
    </r>
    <r>
      <rPr>
        <b val="true"/>
        <sz val="11"/>
        <color rgb="FFFFFFFF"/>
        <rFont val="PingFang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¥</t>
    </r>
    <r>
      <rPr>
        <b val="true"/>
        <sz val="11"/>
        <color rgb="FFFFFFFF"/>
        <rFont val="PingFang SC"/>
        <family val="2"/>
      </rPr>
      <t xml:space="preserve">）</t>
    </r>
  </si>
  <si>
    <r>
      <rPr>
        <b val="true"/>
        <sz val="11"/>
        <color rgb="FFFFFFFF"/>
        <rFont val="PingFang SC"/>
        <family val="2"/>
      </rPr>
      <t xml:space="preserve">月毛利（</t>
    </r>
    <r>
      <rPr>
        <b val="true"/>
        <sz val="11"/>
        <color rgb="FFFFFFFF"/>
        <rFont val="Arial"/>
        <family val="0"/>
        <charset val="1"/>
      </rPr>
      <t xml:space="preserve">¥</t>
    </r>
    <r>
      <rPr>
        <b val="true"/>
        <sz val="11"/>
        <color rgb="FFFFFFFF"/>
        <rFont val="PingFang SC"/>
        <family val="2"/>
      </rPr>
      <t xml:space="preserve">）</t>
    </r>
  </si>
  <si>
    <r>
      <rPr>
        <b val="true"/>
        <sz val="11"/>
        <color rgb="FFFFFFFF"/>
        <rFont val="PingFang SC"/>
        <family val="2"/>
      </rPr>
      <t xml:space="preserve">月毛利（</t>
    </r>
    <r>
      <rPr>
        <b val="true"/>
        <sz val="11"/>
        <color rgb="FFFFFFFF"/>
        <rFont val="Arial"/>
        <family val="0"/>
        <charset val="1"/>
      </rPr>
      <t xml:space="preserve">$</t>
    </r>
    <r>
      <rPr>
        <b val="true"/>
        <sz val="11"/>
        <color rgb="FFFFFFFF"/>
        <rFont val="PingFang SC"/>
        <family val="2"/>
      </rPr>
      <t xml:space="preserve">）</t>
    </r>
  </si>
  <si>
    <t xml:space="preserve">公测期</t>
  </si>
  <si>
    <t xml:space="preserve">稳定期</t>
  </si>
  <si>
    <t xml:space="preserve">规模化</t>
  </si>
  <si>
    <t xml:space="preserve">成本覆盖比</t>
  </si>
  <si>
    <r>
      <rPr>
        <b val="true"/>
        <sz val="11"/>
        <color rgb="FFFFFFFF"/>
        <rFont val="PingFang SC"/>
        <family val="2"/>
      </rPr>
      <t xml:space="preserve">月成本（</t>
    </r>
    <r>
      <rPr>
        <b val="true"/>
        <sz val="11"/>
        <color rgb="FFFFFFFF"/>
        <rFont val="Arial"/>
        <family val="0"/>
        <charset val="1"/>
      </rPr>
      <t xml:space="preserve">$</t>
    </r>
    <r>
      <rPr>
        <b val="true"/>
        <sz val="11"/>
        <color rgb="FFFFFFFF"/>
        <rFont val="PingFang SC"/>
        <family val="2"/>
      </rPr>
      <t xml:space="preserve">）</t>
    </r>
  </si>
  <si>
    <t xml:space="preserve">覆盖倍数</t>
  </si>
  <si>
    <r>
      <rPr>
        <b val="true"/>
        <sz val="11"/>
        <color rgb="FFFFFFFF"/>
        <rFont val="PingFang SC"/>
        <family val="2"/>
      </rPr>
      <t xml:space="preserve">毛利率（毛利</t>
    </r>
    <r>
      <rPr>
        <b val="true"/>
        <sz val="11"/>
        <color rgb="FFFFFFFF"/>
        <rFont val="Arial"/>
        <family val="0"/>
        <charset val="1"/>
      </rPr>
      <t xml:space="preserve">/GMV</t>
    </r>
    <r>
      <rPr>
        <b val="true"/>
        <sz val="11"/>
        <color rgb="FFFFFFFF"/>
        <rFont val="PingFang SC"/>
        <family val="2"/>
      </rPr>
      <t xml:space="preserve">）</t>
    </r>
  </si>
  <si>
    <t xml:space="preserve">结论：单位经济学健康。关键不是控成本，是订单量做起来。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</si>
</sst>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"/>
    <numFmt numFmtId="167" formatCode="\$#,##0.00;&quot;($&quot;#,##0.00\);\-"/>
    <numFmt numFmtId="168" formatCode="#,##0"/>
    <numFmt numFmtId="169" formatCode="0.00"/>
    <numFmt numFmtId="170" formatCode="\¥#,##0"/>
    <numFmt numFmtId="171" formatCode="0.0\×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PingFang SC"/>
      <family val="2"/>
    </font>
    <font>
      <b val="true"/>
      <sz val="14"/>
      <name val="Arial"/>
      <family val="0"/>
      <charset val="1"/>
    </font>
    <font>
      <b val="true"/>
      <sz val="11"/>
      <color rgb="FFFFFFFF"/>
      <name val="PingFang SC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PingFang SC"/>
      <family val="2"/>
    </font>
    <font>
      <sz val="11"/>
      <color rgb="FF0000FF"/>
      <name val="Arial"/>
      <family val="0"/>
      <charset val="1"/>
    </font>
    <font>
      <b val="true"/>
      <sz val="11"/>
      <name val="PingFang SC"/>
      <family val="2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name val="PingFang SC"/>
      <family val="2"/>
    </font>
    <font>
      <i val="true"/>
      <sz val="10"/>
      <color rgb="FF666666"/>
      <name val="PingFang SC"/>
      <family val="2"/>
    </font>
    <font>
      <i val="true"/>
      <sz val="10"/>
      <color rgb="FF666666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i val="true"/>
      <sz val="11"/>
      <color rgb="FF2C5F2D"/>
      <name val="PingFang SC"/>
      <family val="2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FFF2CC"/>
        <bgColor rgb="FFE7E8D1"/>
      </patternFill>
    </fill>
    <fill>
      <patternFill patternType="solid">
        <fgColor rgb="FFE7E8D1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E8D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C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20.85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7.15" hidden="false" customHeight="false" outlineLevel="0" collapsed="false">
      <c r="A4" s="3" t="s">
        <v>4</v>
      </c>
      <c r="B4" s="4" t="n">
        <v>3200</v>
      </c>
      <c r="C4" s="3" t="s">
        <v>5</v>
      </c>
    </row>
    <row r="5" customFormat="false" ht="17.15" hidden="false" customHeight="false" outlineLevel="0" collapsed="false">
      <c r="A5" s="3" t="s">
        <v>6</v>
      </c>
      <c r="B5" s="4" t="n">
        <v>500</v>
      </c>
      <c r="C5" s="3" t="s">
        <v>7</v>
      </c>
    </row>
    <row r="6" customFormat="false" ht="17.15" hidden="false" customHeight="false" outlineLevel="0" collapsed="false">
      <c r="A6" s="5" t="s">
        <v>8</v>
      </c>
      <c r="B6" s="4" t="n">
        <v>200</v>
      </c>
      <c r="C6" s="3" t="s">
        <v>9</v>
      </c>
    </row>
    <row r="7" customFormat="false" ht="17.15" hidden="false" customHeight="false" outlineLevel="0" collapsed="false">
      <c r="A7" s="5" t="s">
        <v>10</v>
      </c>
      <c r="B7" s="4" t="n">
        <v>50</v>
      </c>
      <c r="C7" s="5" t="s">
        <v>11</v>
      </c>
    </row>
    <row r="8" customFormat="false" ht="17.15" hidden="false" customHeight="false" outlineLevel="0" collapsed="false">
      <c r="A8" s="3" t="s">
        <v>12</v>
      </c>
      <c r="B8" s="4" t="n">
        <v>80</v>
      </c>
      <c r="C8" s="3" t="s">
        <v>13</v>
      </c>
    </row>
    <row r="9" customFormat="false" ht="17.15" hidden="false" customHeight="false" outlineLevel="0" collapsed="false">
      <c r="A9" s="3" t="s">
        <v>14</v>
      </c>
      <c r="B9" s="4" t="n">
        <v>250</v>
      </c>
      <c r="C9" s="5" t="s">
        <v>15</v>
      </c>
    </row>
    <row r="10" customFormat="false" ht="17.15" hidden="false" customHeight="false" outlineLevel="0" collapsed="false">
      <c r="A10" s="5" t="s">
        <v>16</v>
      </c>
      <c r="B10" s="4" t="n">
        <v>120</v>
      </c>
      <c r="C10" s="5" t="s">
        <v>17</v>
      </c>
    </row>
    <row r="11" customFormat="false" ht="17.15" hidden="false" customHeight="false" outlineLevel="0" collapsed="false">
      <c r="A11" s="5" t="s">
        <v>18</v>
      </c>
      <c r="B11" s="4" t="n">
        <v>80</v>
      </c>
      <c r="C11" s="3" t="s">
        <v>19</v>
      </c>
    </row>
    <row r="12" customFormat="false" ht="17.15" hidden="false" customHeight="false" outlineLevel="0" collapsed="false">
      <c r="A12" s="5" t="s">
        <v>20</v>
      </c>
      <c r="B12" s="4" t="n">
        <v>520</v>
      </c>
      <c r="C12" s="5" t="s">
        <v>21</v>
      </c>
    </row>
    <row r="13" customFormat="false" ht="15" hidden="false" customHeight="false" outlineLevel="0" collapsed="false">
      <c r="A13" s="6" t="s">
        <v>22</v>
      </c>
      <c r="B13" s="7" t="n">
        <f aca="false">SUM(B4:B12)</f>
        <v>5000</v>
      </c>
      <c r="C13" s="8"/>
    </row>
    <row r="15" customFormat="false" ht="17.15" hidden="false" customHeight="false" outlineLevel="0" collapsed="false">
      <c r="A15" s="9" t="s">
        <v>23</v>
      </c>
      <c r="B15" s="10" t="n">
        <f aca="false">(B4+B5+B9)/B13</f>
        <v>0.79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50"/>
  </cols>
  <sheetData>
    <row r="1" customFormat="false" ht="20.85" hidden="false" customHeight="false" outlineLevel="0" collapsed="false">
      <c r="A1" s="1" t="s">
        <v>24</v>
      </c>
      <c r="B1" s="1"/>
      <c r="C1" s="1"/>
      <c r="D1" s="1"/>
      <c r="E1" s="1"/>
    </row>
    <row r="3" customFormat="false" ht="14.9" hidden="false" customHeight="false" outlineLevel="0" collapsed="false">
      <c r="A3" s="11" t="s">
        <v>25</v>
      </c>
      <c r="B3" s="11"/>
      <c r="C3" s="11"/>
      <c r="D3" s="11"/>
      <c r="E3" s="11"/>
    </row>
    <row r="5" customFormat="false" ht="17.15" hidden="false" customHeight="false" outlineLevel="0" collapsed="false">
      <c r="A5" s="2" t="s">
        <v>1</v>
      </c>
      <c r="B5" s="12" t="s">
        <v>26</v>
      </c>
      <c r="C5" s="12" t="s">
        <v>27</v>
      </c>
      <c r="D5" s="12" t="s">
        <v>28</v>
      </c>
      <c r="E5" s="2" t="s">
        <v>3</v>
      </c>
    </row>
    <row r="6" customFormat="false" ht="32.8" hidden="false" customHeight="false" outlineLevel="0" collapsed="false">
      <c r="A6" s="3" t="s">
        <v>29</v>
      </c>
      <c r="B6" s="4" t="n">
        <v>35</v>
      </c>
      <c r="C6" s="4" t="n">
        <v>550</v>
      </c>
      <c r="D6" s="4" t="n">
        <v>3500</v>
      </c>
      <c r="E6" s="5" t="s">
        <v>30</v>
      </c>
    </row>
    <row r="7" customFormat="false" ht="17.15" hidden="false" customHeight="false" outlineLevel="0" collapsed="false">
      <c r="A7" s="5" t="s">
        <v>31</v>
      </c>
      <c r="B7" s="4" t="n">
        <v>32</v>
      </c>
      <c r="C7" s="4" t="n">
        <v>100</v>
      </c>
      <c r="D7" s="4" t="n">
        <v>250</v>
      </c>
      <c r="E7" s="5" t="s">
        <v>32</v>
      </c>
    </row>
    <row r="8" customFormat="false" ht="17.15" hidden="false" customHeight="false" outlineLevel="0" collapsed="false">
      <c r="A8" s="5" t="s">
        <v>33</v>
      </c>
      <c r="B8" s="4" t="n">
        <v>0</v>
      </c>
      <c r="C8" s="4" t="n">
        <v>50</v>
      </c>
      <c r="D8" s="4" t="n">
        <v>150</v>
      </c>
      <c r="E8" s="3" t="s">
        <v>34</v>
      </c>
    </row>
    <row r="9" customFormat="false" ht="17.15" hidden="false" customHeight="false" outlineLevel="0" collapsed="false">
      <c r="A9" s="3" t="s">
        <v>35</v>
      </c>
      <c r="B9" s="4" t="n">
        <v>0</v>
      </c>
      <c r="C9" s="4" t="n">
        <v>20</v>
      </c>
      <c r="D9" s="4" t="n">
        <v>100</v>
      </c>
      <c r="E9" s="5" t="s">
        <v>36</v>
      </c>
    </row>
    <row r="10" customFormat="false" ht="17.15" hidden="false" customHeight="false" outlineLevel="0" collapsed="false">
      <c r="A10" s="5" t="s">
        <v>37</v>
      </c>
      <c r="B10" s="4" t="n">
        <v>0</v>
      </c>
      <c r="C10" s="4" t="n">
        <v>100</v>
      </c>
      <c r="D10" s="4" t="n">
        <v>600</v>
      </c>
      <c r="E10" s="5" t="s">
        <v>38</v>
      </c>
    </row>
    <row r="11" customFormat="false" ht="17.15" hidden="false" customHeight="false" outlineLevel="0" collapsed="false">
      <c r="A11" s="5" t="s">
        <v>39</v>
      </c>
      <c r="B11" s="4" t="n">
        <v>0</v>
      </c>
      <c r="C11" s="4" t="n">
        <v>30</v>
      </c>
      <c r="D11" s="4" t="n">
        <v>100</v>
      </c>
      <c r="E11" s="3" t="s">
        <v>40</v>
      </c>
    </row>
    <row r="12" customFormat="false" ht="17.15" hidden="false" customHeight="false" outlineLevel="0" collapsed="false">
      <c r="A12" s="5" t="s">
        <v>41</v>
      </c>
      <c r="B12" s="4" t="n">
        <v>5</v>
      </c>
      <c r="C12" s="4" t="n">
        <v>20</v>
      </c>
      <c r="D12" s="4" t="n">
        <v>50</v>
      </c>
      <c r="E12" s="5" t="s">
        <v>42</v>
      </c>
    </row>
    <row r="13" customFormat="false" ht="15" hidden="false" customHeight="false" outlineLevel="0" collapsed="false">
      <c r="A13" s="6" t="s">
        <v>43</v>
      </c>
      <c r="B13" s="7" t="n">
        <f aca="false">SUM(B6:B12)</f>
        <v>72</v>
      </c>
      <c r="C13" s="7" t="n">
        <f aca="false">SUM(C6:C12)</f>
        <v>870</v>
      </c>
      <c r="D13" s="7" t="n">
        <f aca="false">SUM(D6:D12)</f>
        <v>4750</v>
      </c>
      <c r="E13" s="8"/>
    </row>
    <row r="14" customFormat="false" ht="17.15" hidden="false" customHeight="false" outlineLevel="0" collapsed="false">
      <c r="A14" s="9" t="s">
        <v>44</v>
      </c>
      <c r="B14" s="13" t="n">
        <f aca="false">B13*12</f>
        <v>864</v>
      </c>
      <c r="C14" s="13" t="n">
        <f aca="false">C13*12</f>
        <v>10440</v>
      </c>
      <c r="D14" s="13" t="n">
        <f aca="false">D13*12</f>
        <v>57000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20.85" hidden="false" customHeight="false" outlineLevel="0" collapsed="false">
      <c r="A1" s="14" t="s">
        <v>45</v>
      </c>
      <c r="B1" s="14"/>
      <c r="C1" s="14"/>
      <c r="D1" s="14"/>
    </row>
    <row r="3" customFormat="false" ht="17.15" hidden="false" customHeight="false" outlineLevel="0" collapsed="false">
      <c r="A3" s="15" t="s">
        <v>46</v>
      </c>
      <c r="B3" s="15"/>
    </row>
    <row r="4" customFormat="false" ht="17.15" hidden="false" customHeight="false" outlineLevel="0" collapsed="false">
      <c r="A4" s="5" t="s">
        <v>47</v>
      </c>
      <c r="B4" s="16" t="n">
        <v>3</v>
      </c>
    </row>
    <row r="5" customFormat="false" ht="17.15" hidden="false" customHeight="false" outlineLevel="0" collapsed="false">
      <c r="A5" s="5" t="s">
        <v>48</v>
      </c>
      <c r="B5" s="16" t="n">
        <v>15</v>
      </c>
    </row>
    <row r="6" customFormat="false" ht="17.15" hidden="false" customHeight="false" outlineLevel="0" collapsed="false">
      <c r="A6" s="5" t="s">
        <v>49</v>
      </c>
      <c r="B6" s="16" t="n">
        <v>0.3</v>
      </c>
    </row>
    <row r="8" customFormat="false" ht="17.15" hidden="false" customHeight="false" outlineLevel="0" collapsed="false">
      <c r="A8" s="15" t="s">
        <v>50</v>
      </c>
      <c r="B8" s="15"/>
      <c r="C8" s="15"/>
      <c r="D8" s="15"/>
    </row>
    <row r="9" customFormat="false" ht="17.15" hidden="false" customHeight="false" outlineLevel="0" collapsed="false">
      <c r="A9" s="5" t="s">
        <v>51</v>
      </c>
      <c r="B9" s="17" t="n">
        <v>10000</v>
      </c>
    </row>
    <row r="10" customFormat="false" ht="17.15" hidden="false" customHeight="false" outlineLevel="0" collapsed="false">
      <c r="A10" s="5" t="s">
        <v>52</v>
      </c>
      <c r="B10" s="17" t="n">
        <v>9000</v>
      </c>
    </row>
    <row r="11" customFormat="false" ht="17.15" hidden="false" customHeight="false" outlineLevel="0" collapsed="false">
      <c r="A11" s="5" t="s">
        <v>53</v>
      </c>
      <c r="B11" s="17" t="n">
        <v>1000</v>
      </c>
    </row>
    <row r="12" customFormat="false" ht="17.15" hidden="false" customHeight="false" outlineLevel="0" collapsed="false">
      <c r="A12" s="5" t="s">
        <v>54</v>
      </c>
      <c r="B12" s="17" t="n">
        <v>2500</v>
      </c>
    </row>
    <row r="14" customFormat="false" ht="15" hidden="false" customHeight="false" outlineLevel="0" collapsed="false">
      <c r="A14" s="15" t="s">
        <v>55</v>
      </c>
      <c r="B14" s="15"/>
      <c r="C14" s="15"/>
      <c r="D14" s="15"/>
    </row>
    <row r="15" customFormat="false" ht="17.15" hidden="false" customHeight="false" outlineLevel="0" collapsed="false">
      <c r="A15" s="18" t="s">
        <v>56</v>
      </c>
    </row>
    <row r="16" customFormat="false" ht="15" hidden="false" customHeight="false" outlineLevel="0" collapsed="false">
      <c r="A16" s="19" t="s">
        <v>57</v>
      </c>
      <c r="B16" s="20" t="n">
        <f aca="false">B9*B4/1000000</f>
        <v>0.03</v>
      </c>
    </row>
    <row r="17" customFormat="false" ht="15" hidden="false" customHeight="false" outlineLevel="0" collapsed="false">
      <c r="A17" s="19" t="s">
        <v>58</v>
      </c>
      <c r="B17" s="20" t="n">
        <f aca="false">B12*B5/1000000</f>
        <v>0.0375</v>
      </c>
    </row>
    <row r="18" customFormat="false" ht="15" hidden="false" customHeight="false" outlineLevel="0" collapsed="false">
      <c r="A18" s="21" t="s">
        <v>59</v>
      </c>
      <c r="B18" s="22" t="n">
        <f aca="false">B16+B17</f>
        <v>0.0675</v>
      </c>
    </row>
    <row r="20" customFormat="false" ht="17.15" hidden="false" customHeight="false" outlineLevel="0" collapsed="false">
      <c r="A20" s="18" t="s">
        <v>60</v>
      </c>
    </row>
    <row r="21" customFormat="false" ht="15" hidden="false" customHeight="false" outlineLevel="0" collapsed="false">
      <c r="A21" s="19" t="s">
        <v>61</v>
      </c>
      <c r="B21" s="20" t="n">
        <f aca="false">B10*B6/1000000</f>
        <v>0.0027</v>
      </c>
    </row>
    <row r="22" customFormat="false" ht="15" hidden="false" customHeight="false" outlineLevel="0" collapsed="false">
      <c r="A22" s="19" t="s">
        <v>62</v>
      </c>
      <c r="B22" s="20" t="n">
        <f aca="false">B11*B4/1000000</f>
        <v>0.003</v>
      </c>
    </row>
    <row r="23" customFormat="false" ht="15" hidden="false" customHeight="false" outlineLevel="0" collapsed="false">
      <c r="A23" s="19" t="s">
        <v>58</v>
      </c>
      <c r="B23" s="20" t="n">
        <f aca="false">B12*B5/1000000</f>
        <v>0.0375</v>
      </c>
    </row>
    <row r="24" customFormat="false" ht="15" hidden="false" customHeight="false" outlineLevel="0" collapsed="false">
      <c r="A24" s="21" t="s">
        <v>63</v>
      </c>
      <c r="B24" s="22" t="n">
        <f aca="false">B21+B22+B23</f>
        <v>0.0432</v>
      </c>
    </row>
    <row r="25" customFormat="false" ht="15" hidden="false" customHeight="false" outlineLevel="0" collapsed="false">
      <c r="A25" s="19" t="s">
        <v>64</v>
      </c>
      <c r="B25" s="10" t="n">
        <f aca="false">1-B24/B18</f>
        <v>0.36</v>
      </c>
    </row>
    <row r="27" customFormat="false" ht="15" hidden="false" customHeight="false" outlineLevel="0" collapsed="false">
      <c r="A27" s="15" t="s">
        <v>65</v>
      </c>
      <c r="B27" s="15"/>
      <c r="C27" s="15"/>
      <c r="D27" s="15"/>
    </row>
    <row r="28" customFormat="false" ht="17.15" hidden="false" customHeight="false" outlineLevel="0" collapsed="false">
      <c r="A28" s="2" t="s">
        <v>66</v>
      </c>
      <c r="B28" s="2" t="s">
        <v>67</v>
      </c>
      <c r="C28" s="2" t="s">
        <v>68</v>
      </c>
      <c r="D28" s="2" t="s">
        <v>69</v>
      </c>
    </row>
    <row r="29" customFormat="false" ht="15" hidden="false" customHeight="false" outlineLevel="0" collapsed="false">
      <c r="A29" s="17" t="n">
        <v>50</v>
      </c>
      <c r="B29" s="23" t="n">
        <f aca="false">A29*30</f>
        <v>1500</v>
      </c>
      <c r="C29" s="24" t="n">
        <f aca="false">B29*$B$24</f>
        <v>64.8</v>
      </c>
      <c r="D29" s="24" t="n">
        <f aca="false">C29*12</f>
        <v>777.6</v>
      </c>
    </row>
    <row r="30" customFormat="false" ht="15" hidden="false" customHeight="false" outlineLevel="0" collapsed="false">
      <c r="A30" s="17" t="n">
        <v>200</v>
      </c>
      <c r="B30" s="23" t="n">
        <f aca="false">A30*30</f>
        <v>6000</v>
      </c>
      <c r="C30" s="24" t="n">
        <f aca="false">B30*$B$24</f>
        <v>259.2</v>
      </c>
      <c r="D30" s="24" t="n">
        <f aca="false">C30*12</f>
        <v>3110.4</v>
      </c>
    </row>
    <row r="31" customFormat="false" ht="15" hidden="false" customHeight="false" outlineLevel="0" collapsed="false">
      <c r="A31" s="17" t="n">
        <v>500</v>
      </c>
      <c r="B31" s="23" t="n">
        <f aca="false">A31*30</f>
        <v>15000</v>
      </c>
      <c r="C31" s="24" t="n">
        <f aca="false">B31*$B$24</f>
        <v>648</v>
      </c>
      <c r="D31" s="24" t="n">
        <f aca="false">C31*12</f>
        <v>7776</v>
      </c>
    </row>
    <row r="32" customFormat="false" ht="15" hidden="false" customHeight="false" outlineLevel="0" collapsed="false">
      <c r="A32" s="17" t="n">
        <v>1000</v>
      </c>
      <c r="B32" s="23" t="n">
        <f aca="false">A32*30</f>
        <v>30000</v>
      </c>
      <c r="C32" s="24" t="n">
        <f aca="false">B32*$B$24</f>
        <v>1296</v>
      </c>
      <c r="D32" s="24" t="n">
        <f aca="false">C32*12</f>
        <v>15552</v>
      </c>
    </row>
    <row r="33" customFormat="false" ht="15" hidden="false" customHeight="false" outlineLevel="0" collapsed="false">
      <c r="A33" s="17" t="n">
        <v>2000</v>
      </c>
      <c r="B33" s="23" t="n">
        <f aca="false">A33*30</f>
        <v>60000</v>
      </c>
      <c r="C33" s="24" t="n">
        <f aca="false">B33*$B$24</f>
        <v>2592</v>
      </c>
      <c r="D33" s="24" t="n">
        <f aca="false">C33*12</f>
        <v>31104</v>
      </c>
    </row>
    <row r="34" customFormat="false" ht="15" hidden="false" customHeight="false" outlineLevel="0" collapsed="false">
      <c r="A34" s="17" t="n">
        <v>5000</v>
      </c>
      <c r="B34" s="23" t="n">
        <f aca="false">A34*30</f>
        <v>150000</v>
      </c>
      <c r="C34" s="24" t="n">
        <f aca="false">B34*$B$24</f>
        <v>6480</v>
      </c>
      <c r="D34" s="24" t="n">
        <f aca="false">C34*12</f>
        <v>77760</v>
      </c>
    </row>
    <row r="35" customFormat="false" ht="15" hidden="false" customHeight="false" outlineLevel="0" collapsed="false">
      <c r="A35" s="17" t="n">
        <v>8000</v>
      </c>
      <c r="B35" s="23" t="n">
        <f aca="false">A35*30</f>
        <v>240000</v>
      </c>
      <c r="C35" s="24" t="n">
        <f aca="false">B35*$B$24</f>
        <v>10368</v>
      </c>
      <c r="D35" s="24" t="n">
        <f aca="false">C35*12</f>
        <v>124416</v>
      </c>
    </row>
  </sheetData>
  <mergeCells count="5">
    <mergeCell ref="A1:D1"/>
    <mergeCell ref="A3:B3"/>
    <mergeCell ref="A8:D8"/>
    <mergeCell ref="A14:D14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8"/>
  </cols>
  <sheetData>
    <row r="1" customFormat="false" ht="20.85" hidden="false" customHeight="false" outlineLevel="0" collapsed="false">
      <c r="A1" s="1" t="s">
        <v>70</v>
      </c>
      <c r="B1" s="1"/>
      <c r="C1" s="1"/>
      <c r="D1" s="1"/>
      <c r="E1" s="1"/>
      <c r="F1" s="1"/>
    </row>
    <row r="3" customFormat="false" ht="14.9" hidden="false" customHeight="false" outlineLevel="0" collapsed="false">
      <c r="A3" s="11" t="s">
        <v>71</v>
      </c>
      <c r="B3" s="11"/>
      <c r="C3" s="11"/>
      <c r="D3" s="11"/>
      <c r="E3" s="11"/>
      <c r="F3" s="11"/>
    </row>
    <row r="5" customFormat="false" ht="17.15" hidden="false" customHeight="false" outlineLevel="0" collapsed="false">
      <c r="A5" s="19" t="s">
        <v>72</v>
      </c>
      <c r="B5" s="25" t="n">
        <v>0.14</v>
      </c>
    </row>
    <row r="6" customFormat="false" ht="15" hidden="false" customHeight="false" outlineLevel="0" collapsed="false">
      <c r="A6" s="19" t="s">
        <v>73</v>
      </c>
      <c r="B6" s="26" t="n">
        <v>0.08</v>
      </c>
    </row>
    <row r="8" customFormat="false" ht="17.15" hidden="false" customHeight="false" outlineLevel="0" collapsed="false">
      <c r="A8" s="2" t="s">
        <v>74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</row>
    <row r="9" customFormat="false" ht="17.15" hidden="false" customHeight="false" outlineLevel="0" collapsed="false">
      <c r="A9" s="5" t="s">
        <v>80</v>
      </c>
      <c r="B9" s="17" t="n">
        <v>100</v>
      </c>
      <c r="C9" s="17" t="n">
        <v>3500</v>
      </c>
      <c r="D9" s="27" t="n">
        <f aca="false">B9*C9</f>
        <v>350000</v>
      </c>
      <c r="E9" s="27" t="n">
        <f aca="false">D9*$B$6</f>
        <v>28000</v>
      </c>
      <c r="F9" s="24" t="n">
        <f aca="false">E9*$B$5</f>
        <v>3920</v>
      </c>
    </row>
    <row r="10" customFormat="false" ht="17.15" hidden="false" customHeight="false" outlineLevel="0" collapsed="false">
      <c r="A10" s="5" t="s">
        <v>81</v>
      </c>
      <c r="B10" s="17" t="n">
        <v>1000</v>
      </c>
      <c r="C10" s="17" t="n">
        <v>3800</v>
      </c>
      <c r="D10" s="27" t="n">
        <f aca="false">B10*C10</f>
        <v>3800000</v>
      </c>
      <c r="E10" s="27" t="n">
        <f aca="false">D10*$B$6</f>
        <v>304000</v>
      </c>
      <c r="F10" s="24" t="n">
        <f aca="false">E10*$B$5</f>
        <v>42560</v>
      </c>
    </row>
    <row r="11" customFormat="false" ht="17.15" hidden="false" customHeight="false" outlineLevel="0" collapsed="false">
      <c r="A11" s="5" t="s">
        <v>82</v>
      </c>
      <c r="B11" s="17" t="n">
        <v>5000</v>
      </c>
      <c r="C11" s="17" t="n">
        <v>4000</v>
      </c>
      <c r="D11" s="27" t="n">
        <f aca="false">B11*C11</f>
        <v>20000000</v>
      </c>
      <c r="E11" s="27" t="n">
        <f aca="false">D11*$B$6</f>
        <v>1600000</v>
      </c>
      <c r="F11" s="24" t="n">
        <f aca="false">E11*$B$5</f>
        <v>224000</v>
      </c>
    </row>
    <row r="14" customFormat="false" ht="15" hidden="false" customHeight="false" outlineLevel="0" collapsed="false">
      <c r="A14" s="15" t="s">
        <v>83</v>
      </c>
      <c r="B14" s="15"/>
      <c r="C14" s="15"/>
      <c r="D14" s="15"/>
      <c r="E14" s="15"/>
      <c r="F14" s="15"/>
    </row>
    <row r="15" customFormat="false" ht="17.15" hidden="false" customHeight="false" outlineLevel="0" collapsed="false">
      <c r="A15" s="2" t="s">
        <v>74</v>
      </c>
      <c r="B15" s="2" t="s">
        <v>79</v>
      </c>
      <c r="C15" s="2" t="s">
        <v>84</v>
      </c>
      <c r="D15" s="2" t="s">
        <v>85</v>
      </c>
      <c r="E15" s="2" t="s">
        <v>86</v>
      </c>
      <c r="F15" s="2"/>
    </row>
    <row r="16" customFormat="false" ht="17.15" hidden="false" customHeight="false" outlineLevel="0" collapsed="false">
      <c r="A16" s="5" t="s">
        <v>80</v>
      </c>
      <c r="B16" s="28" t="n">
        <f aca="false">F9</f>
        <v>3920</v>
      </c>
      <c r="C16" s="28" t="n">
        <f aca="false">月成本预估!C13</f>
        <v>870</v>
      </c>
      <c r="D16" s="29" t="n">
        <f aca="false">B16/C16</f>
        <v>4.50574712643678</v>
      </c>
      <c r="E16" s="30" t="n">
        <f aca="false">E9/D9</f>
        <v>0.08</v>
      </c>
    </row>
    <row r="17" customFormat="false" ht="17.15" hidden="false" customHeight="false" outlineLevel="0" collapsed="false">
      <c r="A17" s="5" t="s">
        <v>81</v>
      </c>
      <c r="B17" s="28" t="n">
        <f aca="false">F10</f>
        <v>42560</v>
      </c>
      <c r="C17" s="28" t="n">
        <f aca="false">月成本预估!D13</f>
        <v>4750</v>
      </c>
      <c r="D17" s="29" t="n">
        <f aca="false">B17/C17</f>
        <v>8.96</v>
      </c>
      <c r="E17" s="30" t="n">
        <f aca="false">E10/D10</f>
        <v>0.08</v>
      </c>
    </row>
    <row r="18" customFormat="false" ht="17.15" hidden="false" customHeight="false" outlineLevel="0" collapsed="false">
      <c r="A18" s="5" t="s">
        <v>82</v>
      </c>
      <c r="B18" s="28" t="n">
        <f aca="false">F11</f>
        <v>224000</v>
      </c>
      <c r="C18" s="28" t="n">
        <f aca="false">月成本预估!D13*1.5</f>
        <v>7125</v>
      </c>
      <c r="D18" s="29" t="n">
        <f aca="false">B18/C18</f>
        <v>31.4385964912281</v>
      </c>
      <c r="E18" s="30" t="n">
        <f aca="false">E11/D11</f>
        <v>0.08</v>
      </c>
    </row>
    <row r="20" customFormat="false" ht="15" hidden="false" customHeight="false" outlineLevel="0" collapsed="false">
      <c r="A20" s="31" t="s">
        <v>87</v>
      </c>
      <c r="B20" s="31"/>
      <c r="C20" s="31"/>
      <c r="D20" s="31"/>
      <c r="E20" s="31"/>
      <c r="F20" s="31"/>
    </row>
  </sheetData>
  <mergeCells count="4">
    <mergeCell ref="A1:F1"/>
    <mergeCell ref="A3:F3"/>
    <mergeCell ref="A14:F14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2026-04-30T04:50:55Z</dcterms:created>
  <dc:creator>openpyxl</dc:creator>
  <dc:description/>
  <dc:language>en-US</dc:language>
  <cp:lastModifiedBy/>
  <dcterms:modified xsi:type="dcterms:W3CDTF">2026-04-30T04:50:55Z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