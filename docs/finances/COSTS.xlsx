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obwang/Documents/Flight Ticket Manager/docs/finances/"/>
    </mc:Choice>
  </mc:AlternateContent>
  <xr:revisionPtr revIDLastSave="0" documentId="13_ncr:1_{48AF8778-E89E-5544-9D08-B9B6024E195C}" xr6:coauthVersionLast="47" xr6:coauthVersionMax="47" xr10:uidLastSave="{00000000-0000-0000-0000-000000000000}"/>
  <bookViews>
    <workbookView xWindow="0" yWindow="660" windowWidth="22540" windowHeight="15700" tabRatio="500" activeTab="1" xr2:uid="{00000000-000D-0000-FFFF-FFFF00000000}"/>
  </bookViews>
  <sheets>
    <sheet name="已花成本" sheetId="1" r:id="rId1"/>
    <sheet name="支出明细" sheetId="2" r:id="rId2"/>
    <sheet name="月成本预估" sheetId="3" r:id="rId3"/>
    <sheet name="AI Token 成本" sheetId="4" r:id="rId4"/>
    <sheet name="单位经济学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5" l="1"/>
  <c r="E18" i="5" s="1"/>
  <c r="D11" i="5"/>
  <c r="D10" i="5"/>
  <c r="E10" i="5" s="1"/>
  <c r="E9" i="5"/>
  <c r="F9" i="5" s="1"/>
  <c r="B16" i="5" s="1"/>
  <c r="D9" i="5"/>
  <c r="B35" i="4"/>
  <c r="C35" i="4" s="1"/>
  <c r="D35" i="4" s="1"/>
  <c r="B34" i="4"/>
  <c r="C34" i="4" s="1"/>
  <c r="D34" i="4" s="1"/>
  <c r="B33" i="4"/>
  <c r="B32" i="4"/>
  <c r="C32" i="4" s="1"/>
  <c r="D32" i="4" s="1"/>
  <c r="B31" i="4"/>
  <c r="C31" i="4" s="1"/>
  <c r="D31" i="4" s="1"/>
  <c r="B30" i="4"/>
  <c r="C30" i="4" s="1"/>
  <c r="D30" i="4" s="1"/>
  <c r="B29" i="4"/>
  <c r="C29" i="4" s="1"/>
  <c r="D29" i="4" s="1"/>
  <c r="B23" i="4"/>
  <c r="B22" i="4"/>
  <c r="B21" i="4"/>
  <c r="B24" i="4" s="1"/>
  <c r="B17" i="4"/>
  <c r="B16" i="4"/>
  <c r="B18" i="4" s="1"/>
  <c r="D13" i="3"/>
  <c r="C17" i="5" s="1"/>
  <c r="C13" i="3"/>
  <c r="C14" i="3" s="1"/>
  <c r="B13" i="3"/>
  <c r="B14" i="3" s="1"/>
  <c r="C16" i="1"/>
  <c r="B11" i="1"/>
  <c r="B10" i="1"/>
  <c r="B9" i="1"/>
  <c r="B8" i="1"/>
  <c r="B7" i="1"/>
  <c r="B6" i="1"/>
  <c r="B5" i="1"/>
  <c r="B4" i="1"/>
  <c r="D42" i="2"/>
  <c r="B12" i="1" s="1"/>
  <c r="B16" i="1" s="1"/>
  <c r="B17" i="1" s="1"/>
  <c r="B19" i="1" s="1"/>
  <c r="E17" i="5" l="1"/>
  <c r="F10" i="5"/>
  <c r="B17" i="5" s="1"/>
  <c r="D17" i="5" s="1"/>
  <c r="C33" i="4"/>
  <c r="D33" i="4" s="1"/>
  <c r="B25" i="4"/>
  <c r="C16" i="5"/>
  <c r="D16" i="5" s="1"/>
  <c r="F11" i="5"/>
  <c r="B18" i="5" s="1"/>
  <c r="D14" i="3"/>
  <c r="E16" i="5"/>
  <c r="C18" i="5"/>
  <c r="D18" i="5" l="1"/>
</calcChain>
</file>

<file path=xl/sharedStrings.xml><?xml version="1.0" encoding="utf-8"?>
<sst xmlns="http://schemas.openxmlformats.org/spreadsheetml/2006/main" count="267" uniqueCount="210">
  <si>
    <t>开发期已花成本（项目 2026-04 启动）</t>
  </si>
  <si>
    <t>类别</t>
  </si>
  <si>
    <t>金额（USD）</t>
  </si>
  <si>
    <t>说明</t>
  </si>
  <si>
    <t>开发外包</t>
  </si>
  <si>
    <t>外包开发（只计新功能工时，bug 修复/优化/重做不计）：MVP / 订单核心 / 代理产品 / 动态定价 / AI 助手 / 演示包 / 财务 P&amp;L / 支付确认 / 操作部功能 / OTA 前台 / 全站视觉 / 椰岛品牌 / 仓位阶梯定价 / 套餐增强 / 录单支付订单代理批次 / 护照 OCR</t>
  </si>
  <si>
    <t>Claude Code</t>
  </si>
  <si>
    <t>开发主力 AI 工具：Anthropic API token 用量（4 月 $50 + 5 月 $80 + 6 月 $80 + 6 月下半月加量 $70）</t>
  </si>
  <si>
    <r>
      <rPr>
        <sz val="11"/>
        <color theme="1"/>
        <rFont val="Calibri"/>
        <family val="2"/>
        <charset val="1"/>
      </rPr>
      <t xml:space="preserve">OpenAI / </t>
    </r>
    <r>
      <rPr>
        <sz val="11"/>
        <color theme="1"/>
        <rFont val="PingFang SC"/>
        <family val="2"/>
      </rPr>
      <t>模型测试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</si>
  <si>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助手内嵌的模型调用 </t>
    </r>
    <r>
      <rPr>
        <sz val="11"/>
        <color theme="1"/>
        <rFont val="Calibri"/>
        <family val="2"/>
        <charset val="1"/>
      </rPr>
      <t xml:space="preserve">+ Prompt </t>
    </r>
    <r>
      <rPr>
        <sz val="11"/>
        <color theme="1"/>
        <rFont val="PingFang SC"/>
        <family val="2"/>
      </rPr>
      <t>迭代调试（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$100 + 5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>$30</t>
    </r>
    <r>
      <rPr>
        <sz val="11"/>
        <color theme="1"/>
        <rFont val="PingFang SC"/>
        <family val="2"/>
      </rPr>
      <t>）</t>
    </r>
  </si>
  <si>
    <t>服务器（阿里云 HK）</t>
  </si>
  <si>
    <r>
      <rPr>
        <sz val="11"/>
        <color theme="1"/>
        <rFont val="Calibri"/>
        <family val="2"/>
        <charset val="1"/>
      </rPr>
      <t xml:space="preserve">4C8G </t>
    </r>
    <r>
      <rPr>
        <sz val="11"/>
        <color theme="1"/>
        <rFont val="PingFang SC"/>
        <family val="2"/>
      </rPr>
      <t xml:space="preserve">轻量实例 </t>
    </r>
    <r>
      <rPr>
        <sz val="11"/>
        <color theme="1"/>
        <rFont val="Calibri"/>
        <family val="2"/>
        <charset val="1"/>
      </rPr>
      <t>$32/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PingFang SC"/>
        <family val="2"/>
      </rPr>
      <t>期（</t>
    </r>
    <r>
      <rPr>
        <sz val="11"/>
        <color theme="1"/>
        <rFont val="Calibri"/>
        <family val="2"/>
        <charset val="1"/>
      </rPr>
      <t xml:space="preserve">4-6 </t>
    </r>
    <r>
      <rPr>
        <sz val="11"/>
        <color theme="1"/>
        <rFont val="PingFang SC"/>
        <family val="2"/>
      </rPr>
      <t>月）</t>
    </r>
  </si>
  <si>
    <t>域名 + DNS</t>
  </si>
  <si>
    <r>
      <rPr>
        <sz val="11"/>
        <color theme="1"/>
        <rFont val="Calibri"/>
        <family val="2"/>
        <charset val="1"/>
      </rPr>
      <t xml:space="preserve">citur.com </t>
    </r>
    <r>
      <rPr>
        <sz val="11"/>
        <color theme="1"/>
        <rFont val="PingFang SC"/>
        <family val="2"/>
      </rPr>
      <t xml:space="preserve">试注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备用 </t>
    </r>
    <r>
      <rPr>
        <sz val="11"/>
        <color theme="1"/>
        <rFont val="Calibri"/>
        <family val="2"/>
        <charset val="1"/>
      </rPr>
      <t xml:space="preserve">.cn </t>
    </r>
    <r>
      <rPr>
        <sz val="11"/>
        <color theme="1"/>
        <rFont val="PingFang SC"/>
        <family val="2"/>
      </rPr>
      <t xml:space="preserve">域名 </t>
    </r>
    <r>
      <rPr>
        <sz val="11"/>
        <color theme="1"/>
        <rFont val="Calibri"/>
        <family val="2"/>
        <charset val="1"/>
      </rPr>
      <t xml:space="preserve">+ Cloudflare </t>
    </r>
    <r>
      <rPr>
        <sz val="11"/>
        <color theme="1"/>
        <rFont val="PingFang SC"/>
        <family val="2"/>
      </rPr>
      <t xml:space="preserve">免费层 </t>
    </r>
    <r>
      <rPr>
        <sz val="11"/>
        <color theme="1"/>
        <rFont val="Calibri"/>
        <family val="2"/>
        <charset val="1"/>
      </rPr>
      <t>DNS</t>
    </r>
  </si>
  <si>
    <t>GitHub / CI</t>
  </si>
  <si>
    <r>
      <rPr>
        <sz val="11"/>
        <color theme="1"/>
        <rFont val="Calibri"/>
        <family val="2"/>
        <charset val="1"/>
      </rPr>
      <t xml:space="preserve">Actions </t>
    </r>
    <r>
      <rPr>
        <sz val="11"/>
        <color theme="1"/>
        <rFont val="PingFang SC"/>
        <family val="2"/>
      </rPr>
      <t>分钟数（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PingFang SC"/>
        <family val="2"/>
      </rPr>
      <t xml:space="preserve">流水线 </t>
    </r>
    <r>
      <rPr>
        <sz val="11"/>
        <color theme="1"/>
        <rFont val="Calibri"/>
        <family val="2"/>
        <charset val="1"/>
      </rPr>
      <t xml:space="preserve">~30k </t>
    </r>
    <r>
      <rPr>
        <sz val="11"/>
        <color theme="1"/>
        <rFont val="PingFang SC"/>
        <family val="2"/>
      </rPr>
      <t>分钟）</t>
    </r>
  </si>
  <si>
    <t>设计素材</t>
  </si>
  <si>
    <r>
      <rPr>
        <sz val="11"/>
        <color theme="1"/>
        <rFont val="Calibri"/>
        <family val="2"/>
        <charset val="1"/>
      </rPr>
      <t xml:space="preserve">Figma Pro 1 </t>
    </r>
    <r>
      <rPr>
        <sz val="11"/>
        <color theme="1"/>
        <rFont val="PingFang SC"/>
        <family val="2"/>
      </rPr>
      <t xml:space="preserve">个月 </t>
    </r>
    <r>
      <rPr>
        <sz val="11"/>
        <color theme="1"/>
        <rFont val="Calibri"/>
        <family val="2"/>
        <charset val="1"/>
      </rPr>
      <t xml:space="preserve">+ Iconify </t>
    </r>
    <r>
      <rPr>
        <sz val="11"/>
        <color theme="1"/>
        <rFont val="PingFang SC"/>
        <family val="2"/>
      </rPr>
      <t>图标一次性</t>
    </r>
  </si>
  <si>
    <t>杂项</t>
  </si>
  <si>
    <r>
      <rPr>
        <sz val="11"/>
        <color theme="1"/>
        <rFont val="Calibri"/>
        <family val="2"/>
        <charset val="1"/>
      </rPr>
      <t xml:space="preserve">Unsplash CDN + Google Fonts </t>
    </r>
    <r>
      <rPr>
        <sz val="11"/>
        <color theme="1"/>
        <rFont val="PingFang SC"/>
        <family val="2"/>
      </rPr>
      <t xml:space="preserve">商用授权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越南语人工校对 </t>
    </r>
    <r>
      <rPr>
        <sz val="11"/>
        <color theme="1"/>
        <rFont val="Calibri"/>
        <family val="2"/>
        <charset val="1"/>
      </rPr>
      <t xml:space="preserve">+ DashScope/Qwen3-VL </t>
    </r>
    <r>
      <rPr>
        <sz val="11"/>
        <color theme="1"/>
        <rFont val="PingFang SC"/>
        <family val="2"/>
      </rPr>
      <t xml:space="preserve">护照 </t>
    </r>
    <r>
      <rPr>
        <sz val="11"/>
        <color theme="1"/>
        <rFont val="Calibri"/>
        <family val="2"/>
        <charset val="1"/>
      </rPr>
      <t xml:space="preserve">OCR </t>
    </r>
    <r>
      <rPr>
        <sz val="11"/>
        <color theme="1"/>
        <rFont val="PingFang SC"/>
        <family val="2"/>
      </rPr>
      <t>测试</t>
    </r>
  </si>
  <si>
    <t>合计（已花）</t>
  </si>
  <si>
    <t>═══ 折人民币 + 回款对账 ═══</t>
  </si>
  <si>
    <t>中行现汇卖出价 (USD→CNY)</t>
  </si>
  <si>
    <t>中国银行 现汇卖出价 681.95/100，发布 2026/06/26 15:08（蓝色=手填，换日更新）</t>
  </si>
  <si>
    <t>累计成本（USD）</t>
  </si>
  <si>
    <t>累计成本（折 ¥）</t>
  </si>
  <si>
    <t>按当日中行卖出价折算（拿 ¥ 买 $ 付外包/服务器口径）</t>
  </si>
  <si>
    <t>已回款（第 1 期）</t>
  </si>
  <si>
    <t>净敞口 / 还差（¥）</t>
  </si>
  <si>
    <t>成本(¥) − 已回款；负数=已覆盖，正数=还差这么多打平成本</t>
  </si>
  <si>
    <t>支出明细（按时间正序）— 项目 2026-04 启动</t>
  </si>
  <si>
    <t>注：所有金额为估算（无真实发票对照）。每月底加新行。</t>
  </si>
  <si>
    <t>日期</t>
  </si>
  <si>
    <t>供应商 / 项目</t>
  </si>
  <si>
    <t>金额 (USD)</t>
  </si>
  <si>
    <t>具体买了什么</t>
  </si>
  <si>
    <t>工时备注</t>
  </si>
  <si>
    <r>
      <rPr>
        <b/>
        <i/>
        <sz val="11"/>
        <rFont val="Arial"/>
        <family val="2"/>
        <charset val="1"/>
      </rPr>
      <t>═══ 2026-04</t>
    </r>
    <r>
      <rPr>
        <b/>
        <i/>
        <sz val="11"/>
        <rFont val="PingFang SC"/>
        <family val="2"/>
      </rPr>
      <t xml:space="preserve">：项目启动 </t>
    </r>
    <r>
      <rPr>
        <b/>
        <i/>
        <sz val="11"/>
        <rFont val="Arial"/>
        <family val="2"/>
        <charset val="1"/>
      </rPr>
      <t xml:space="preserve">+ MVP + AI </t>
    </r>
    <r>
      <rPr>
        <b/>
        <i/>
        <sz val="11"/>
        <rFont val="PingFang SC"/>
        <family val="2"/>
      </rPr>
      <t>助手 ═══</t>
    </r>
  </si>
  <si>
    <t>2026-04-02</t>
  </si>
  <si>
    <t>Phase 1 MVP</t>
  </si>
  <si>
    <r>
      <rPr>
        <sz val="11"/>
        <color theme="1"/>
        <rFont val="Calibri"/>
        <family val="2"/>
        <charset val="1"/>
      </rPr>
      <t xml:space="preserve">monorepo </t>
    </r>
    <r>
      <rPr>
        <sz val="11"/>
        <color theme="1"/>
        <rFont val="PingFang SC"/>
        <family val="2"/>
      </rPr>
      <t>脚手架（</t>
    </r>
    <r>
      <rPr>
        <sz val="11"/>
        <color theme="1"/>
        <rFont val="Calibri"/>
        <family val="2"/>
        <charset val="1"/>
      </rPr>
      <t>backend/sales-web/admin-web/miniprogram</t>
    </r>
    <r>
      <rPr>
        <sz val="11"/>
        <color theme="1"/>
        <rFont val="PingFang SC"/>
        <family val="2"/>
      </rPr>
      <t>）</t>
    </r>
    <r>
      <rPr>
        <sz val="11"/>
        <color theme="1"/>
        <rFont val="Calibri"/>
        <family val="2"/>
        <charset val="1"/>
      </rPr>
      <t xml:space="preserve">+ Prisma schema + JWT/RBAC 4 </t>
    </r>
    <r>
      <rPr>
        <sz val="11"/>
        <color theme="1"/>
        <rFont val="PingFang SC"/>
        <family val="2"/>
      </rPr>
      <t xml:space="preserve">角色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微信 </t>
    </r>
    <r>
      <rPr>
        <sz val="11"/>
        <color theme="1"/>
        <rFont val="Calibri"/>
        <family val="2"/>
        <charset val="1"/>
      </rPr>
      <t>stub</t>
    </r>
  </si>
  <si>
    <t>~50h</t>
  </si>
  <si>
    <t>2026-04-09</t>
  </si>
  <si>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PingFang SC"/>
        <family val="2"/>
      </rPr>
      <t>订单核心</t>
    </r>
  </si>
  <si>
    <r>
      <rPr>
        <sz val="11"/>
        <color theme="1"/>
        <rFont val="Calibri"/>
        <family val="2"/>
        <charset val="1"/>
      </rPr>
      <t xml:space="preserve">Order/OrderItem/Passenger </t>
    </r>
    <r>
      <rPr>
        <sz val="11"/>
        <color theme="1"/>
        <rFont val="PingFang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+ 13 </t>
    </r>
    <r>
      <rPr>
        <sz val="11"/>
        <color theme="1"/>
        <rFont val="PingFang SC"/>
        <family val="2"/>
      </rPr>
      <t xml:space="preserve">状态机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航班搜索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座位库存 </t>
    </r>
    <r>
      <rPr>
        <sz val="11"/>
        <color theme="1"/>
        <rFont val="Calibri"/>
        <family val="2"/>
        <charset val="1"/>
      </rPr>
      <t xml:space="preserve">CAS + </t>
    </r>
    <r>
      <rPr>
        <sz val="11"/>
        <color theme="1"/>
        <rFont val="PingFang SC"/>
        <family val="2"/>
      </rPr>
      <t>退款报价</t>
    </r>
  </si>
  <si>
    <t>~55h</t>
  </si>
  <si>
    <t>2026-04-15</t>
  </si>
  <si>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PingFang SC"/>
        <family val="2"/>
      </rPr>
      <t>代理</t>
    </r>
    <r>
      <rPr>
        <sz val="11"/>
        <color theme="1"/>
        <rFont val="Calibri"/>
        <family val="2"/>
        <charset val="1"/>
      </rPr>
      <t>+</t>
    </r>
    <r>
      <rPr>
        <sz val="11"/>
        <color theme="1"/>
        <rFont val="PingFang SC"/>
        <family val="2"/>
      </rPr>
      <t>产品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</si>
  <si>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PingFang SC"/>
        <family val="2"/>
      </rPr>
      <t xml:space="preserve">级代理层级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佣金分账 </t>
    </r>
    <r>
      <rPr>
        <sz val="11"/>
        <color theme="1"/>
        <rFont val="Calibri"/>
        <family val="2"/>
        <charset val="1"/>
      </rPr>
      <t>+ Hotels/Transfers/Visas/Bundles CRUD</t>
    </r>
  </si>
  <si>
    <t>2026-04-18</t>
  </si>
  <si>
    <t>服务器</t>
  </si>
  <si>
    <t>阿里云 HK</t>
  </si>
  <si>
    <r>
      <rPr>
        <sz val="11"/>
        <color theme="1"/>
        <rFont val="Calibri"/>
        <family val="2"/>
        <charset val="1"/>
      </rPr>
      <t xml:space="preserve">4C8G </t>
    </r>
    <r>
      <rPr>
        <sz val="11"/>
        <color theme="1"/>
        <rFont val="PingFang SC"/>
        <family val="2"/>
      </rPr>
      <t xml:space="preserve">轻量实例首月（包月 </t>
    </r>
    <r>
      <rPr>
        <sz val="11"/>
        <color theme="1"/>
        <rFont val="Calibri"/>
        <family val="2"/>
        <charset val="1"/>
      </rPr>
      <t>$32</t>
    </r>
    <r>
      <rPr>
        <sz val="11"/>
        <color theme="1"/>
        <rFont val="PingFang SC"/>
        <family val="2"/>
      </rPr>
      <t>）</t>
    </r>
  </si>
  <si>
    <t>2026-04-19</t>
  </si>
  <si>
    <t>域名</t>
  </si>
  <si>
    <r>
      <rPr>
        <sz val="11"/>
        <color theme="1"/>
        <rFont val="Calibri"/>
        <family val="2"/>
        <charset val="1"/>
      </rPr>
      <t xml:space="preserve">Namecheap + </t>
    </r>
    <r>
      <rPr>
        <sz val="11"/>
        <color theme="1"/>
        <rFont val="PingFang SC"/>
        <family val="2"/>
      </rPr>
      <t>阿里云</t>
    </r>
  </si>
  <si>
    <t>2026-04-22</t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</si>
  <si>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PingFang SC"/>
        <family val="2"/>
      </rPr>
      <t>动态定价</t>
    </r>
  </si>
  <si>
    <t>动态定价引擎：DateRanking A/B/C/D × 余位 18 buckets；PricingService；结算单 + 月度报表</t>
  </si>
  <si>
    <t>2026-04-25</t>
  </si>
  <si>
    <r>
      <rPr>
        <sz val="11"/>
        <color theme="1"/>
        <rFont val="Calibri"/>
        <family val="2"/>
        <charset val="1"/>
      </rPr>
      <t xml:space="preserve">Phase 2 AI </t>
    </r>
    <r>
      <rPr>
        <sz val="11"/>
        <color theme="1"/>
        <rFont val="PingFang SC"/>
        <family val="2"/>
      </rPr>
      <t>助手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</si>
  <si>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>v1</t>
    </r>
    <r>
      <rPr>
        <sz val="11"/>
        <color theme="1"/>
        <rFont val="PingFang SC"/>
        <family val="2"/>
      </rPr>
      <t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个 </t>
    </r>
    <r>
      <rPr>
        <sz val="11"/>
        <color theme="1"/>
        <rFont val="Calibri"/>
        <family val="2"/>
        <charset val="1"/>
      </rPr>
      <t>tool</t>
    </r>
    <r>
      <rPr>
        <sz val="11"/>
        <color theme="1"/>
        <rFont val="PingFang SC"/>
        <family val="2"/>
      </rPr>
      <t>（</t>
    </r>
    <r>
      <rPr>
        <sz val="11"/>
        <color theme="1"/>
        <rFont val="Calibri"/>
        <family val="2"/>
        <charset val="1"/>
      </rPr>
      <t>search_flights/hotels/transfers/visas/bundles</t>
    </r>
    <r>
      <rPr>
        <sz val="11"/>
        <color theme="1"/>
        <rFont val="PingFang SC"/>
        <family val="2"/>
      </rPr>
      <t>）</t>
    </r>
    <r>
      <rPr>
        <sz val="11"/>
        <color theme="1"/>
        <rFont val="Calibri"/>
        <family val="2"/>
        <charset val="1"/>
      </rPr>
      <t xml:space="preserve">+ propose_order + </t>
    </r>
    <r>
      <rPr>
        <sz val="11"/>
        <color theme="1"/>
        <rFont val="PingFang SC"/>
        <family val="2"/>
      </rPr>
      <t>多轮对话循环</t>
    </r>
  </si>
  <si>
    <t>~60h</t>
  </si>
  <si>
    <t>2026-04-26</t>
  </si>
  <si>
    <t>OpenAI</t>
  </si>
  <si>
    <t>OpenAI API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</si>
  <si>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 xml:space="preserve">Prompt </t>
    </r>
    <r>
      <rPr>
        <sz val="11"/>
        <color theme="1"/>
        <rFont val="PingFang SC"/>
        <family val="2"/>
      </rPr>
      <t xml:space="preserve">迭代 </t>
    </r>
    <r>
      <rPr>
        <sz val="11"/>
        <color theme="1"/>
        <rFont val="Calibri"/>
        <family val="2"/>
        <charset val="1"/>
      </rPr>
      <t xml:space="preserve">+ GPT-5-mini vs Claude Sonnet </t>
    </r>
    <r>
      <rPr>
        <sz val="11"/>
        <color theme="1"/>
        <rFont val="PingFang SC"/>
        <family val="2"/>
      </rPr>
      <t xml:space="preserve">对比 </t>
    </r>
    <r>
      <rPr>
        <sz val="11"/>
        <color theme="1"/>
        <rFont val="Calibri"/>
        <family val="2"/>
        <charset val="1"/>
      </rPr>
      <t xml:space="preserve">+ tool-use </t>
    </r>
    <r>
      <rPr>
        <sz val="11"/>
        <color theme="1"/>
        <rFont val="PingFang SC"/>
        <family val="2"/>
      </rPr>
      <t>调试</t>
    </r>
  </si>
  <si>
    <t>2026-04-27</t>
  </si>
  <si>
    <t>Unsplash + Google Fonts</t>
  </si>
  <si>
    <t>酒店/接送/签证产品图（25 张 hero）+ Inter / Noto Sans 商用授权</t>
  </si>
  <si>
    <t>2026-04-28</t>
  </si>
  <si>
    <t>设计</t>
  </si>
  <si>
    <t>Figma + Iconify</t>
  </si>
  <si>
    <r>
      <rPr>
        <sz val="11"/>
        <color theme="1"/>
        <rFont val="Calibri"/>
        <family val="2"/>
        <charset val="1"/>
      </rPr>
      <t xml:space="preserve">Figma Pro 1 </t>
    </r>
    <r>
      <rPr>
        <sz val="11"/>
        <color theme="1"/>
        <rFont val="PingFang SC"/>
        <family val="2"/>
      </rPr>
      <t xml:space="preserve">个月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>一些图标包（一次性买断）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</si>
  <si>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PingFang SC"/>
        <family val="2"/>
      </rPr>
      <t>演示准备</t>
    </r>
  </si>
  <si>
    <t>小程序 (Taro 4.0.9) + 微信支付 sandbox + i18n 完善 + Demo seed 6 单 + 演示包</t>
  </si>
  <si>
    <t>~45h</t>
  </si>
  <si>
    <t>2026-04-29</t>
  </si>
  <si>
    <t>GitHub</t>
  </si>
  <si>
    <t>GitHub Actions</t>
  </si>
  <si>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PingFang SC"/>
        <family val="2"/>
      </rPr>
      <t>流水线（</t>
    </r>
    <r>
      <rPr>
        <sz val="11"/>
        <color theme="1"/>
        <rFont val="Calibri"/>
        <family val="2"/>
        <charset val="1"/>
      </rPr>
      <t>lint/test/build/docker push</t>
    </r>
    <r>
      <rPr>
        <sz val="11"/>
        <color theme="1"/>
        <rFont val="PingFang SC"/>
        <family val="2"/>
      </rPr>
      <t>）</t>
    </r>
    <r>
      <rPr>
        <sz val="11"/>
        <color theme="1"/>
        <rFont val="Calibri"/>
        <family val="2"/>
        <charset val="1"/>
      </rPr>
      <t xml:space="preserve">~30k </t>
    </r>
    <r>
      <rPr>
        <sz val="11"/>
        <color theme="1"/>
        <rFont val="PingFang SC"/>
        <family val="2"/>
      </rPr>
      <t>分钟</t>
    </r>
  </si>
  <si>
    <t>人工翻译</t>
  </si>
  <si>
    <t>越南语 + 英语 i18n 文案人工校对</t>
  </si>
  <si>
    <t>Anthropic API</t>
  </si>
  <si>
    <r>
      <rPr>
        <sz val="11"/>
        <color theme="1"/>
        <rFont val="Calibri"/>
        <family val="2"/>
        <charset val="1"/>
      </rPr>
      <t xml:space="preserve">Claude Code </t>
    </r>
    <r>
      <rPr>
        <sz val="11"/>
        <color theme="1"/>
        <rFont val="PingFang SC"/>
        <family val="2"/>
      </rPr>
      <t xml:space="preserve">试用期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PingFang SC"/>
        <family val="2"/>
      </rPr>
      <t>用量（开发主力工具）</t>
    </r>
  </si>
  <si>
    <r>
      <rPr>
        <b/>
        <i/>
        <sz val="11"/>
        <rFont val="Arial"/>
        <family val="2"/>
        <charset val="1"/>
      </rPr>
      <t>═══ 2026-05</t>
    </r>
    <r>
      <rPr>
        <b/>
        <i/>
        <sz val="11"/>
        <rFont val="PingFang SC"/>
        <family val="2"/>
      </rPr>
      <t>：反馈驱动迭代 ═══</t>
    </r>
  </si>
  <si>
    <t>2026-05-05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</si>
  <si>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PingFang SC"/>
        <family val="2"/>
      </rPr>
      <t>完善</t>
    </r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</si>
  <si>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PingFang SC"/>
        <family val="2"/>
      </rPr>
      <t xml:space="preserve">路由表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跨域代理 </t>
    </r>
    <r>
      <rPr>
        <sz val="11"/>
        <color theme="1"/>
        <rFont val="Calibri"/>
        <family val="2"/>
        <charset val="1"/>
      </rPr>
      <t xml:space="preserve">RBAC + agents.routes </t>
    </r>
    <r>
      <rPr>
        <sz val="11"/>
        <color theme="1"/>
        <rFont val="PingFang SC"/>
        <family val="2"/>
      </rPr>
      <t xml:space="preserve">完整覆盖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演示包 </t>
    </r>
    <r>
      <rPr>
        <sz val="11"/>
        <color theme="1"/>
        <rFont val="Calibri"/>
        <family val="2"/>
        <charset val="1"/>
      </rPr>
      <t xml:space="preserve">docx/pptx </t>
    </r>
    <r>
      <rPr>
        <sz val="11"/>
        <color theme="1"/>
        <rFont val="PingFang SC"/>
        <family val="2"/>
      </rPr>
      <t>生成脚本</t>
    </r>
  </si>
  <si>
    <t>~25h</t>
  </si>
  <si>
    <t>2026-05-13</t>
  </si>
  <si>
    <t>小程序修复</t>
  </si>
  <si>
    <t>小程序 build 通：webpack@5.91 pin + Node 22 兼容 + dev.ts 指 staging + Taro 配置修</t>
  </si>
  <si>
    <t>~18h</t>
  </si>
  <si>
    <t>第 2 月（4-5 月共 $64）</t>
  </si>
  <si>
    <t>2026-05-14</t>
  </si>
  <si>
    <t>测试 staging AI 调用（地区屏蔽前的小额）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</si>
  <si>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Claude Code token </t>
    </r>
    <r>
      <rPr>
        <sz val="11"/>
        <color theme="1"/>
        <rFont val="PingFang SC"/>
        <family val="2"/>
      </rPr>
      <t>用量（持续开发用）</t>
    </r>
  </si>
  <si>
    <t>2026-05-20</t>
  </si>
  <si>
    <t>反馈 wave 1</t>
  </si>
  <si>
    <r>
      <rPr>
        <sz val="11"/>
        <color theme="1"/>
        <rFont val="Calibri"/>
        <family val="2"/>
        <charset val="1"/>
      </rPr>
      <t xml:space="preserve">PNR Excel </t>
    </r>
    <r>
      <rPr>
        <sz val="11"/>
        <color theme="1"/>
        <rFont val="PingFang SC"/>
        <family val="2"/>
      </rPr>
      <t xml:space="preserve">导出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护照 </t>
    </r>
    <r>
      <rPr>
        <sz val="11"/>
        <color theme="1"/>
        <rFont val="Calibri"/>
        <family val="2"/>
        <charset val="1"/>
      </rPr>
      <t xml:space="preserve">zip </t>
    </r>
    <r>
      <rPr>
        <sz val="11"/>
        <color theme="1"/>
        <rFont val="PingFang SC"/>
        <family val="2"/>
      </rPr>
      <t xml:space="preserve">打包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待办系统 </t>
    </r>
    <r>
      <rPr>
        <sz val="11"/>
        <color theme="1"/>
        <rFont val="Calibri"/>
        <family val="2"/>
        <charset val="1"/>
      </rPr>
      <t xml:space="preserve">/ 17 </t>
    </r>
    <r>
      <rPr>
        <sz val="11"/>
        <color theme="1"/>
        <rFont val="PingFang SC"/>
        <family val="2"/>
      </rPr>
      <t xml:space="preserve">字段扩展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拼房 </t>
    </r>
    <r>
      <rPr>
        <sz val="11"/>
        <color theme="1"/>
        <rFont val="Calibri"/>
        <family val="2"/>
        <charset val="1"/>
      </rPr>
      <t xml:space="preserve">endpoint / claim </t>
    </r>
    <r>
      <rPr>
        <sz val="11"/>
        <color theme="1"/>
        <rFont val="PingFang SC"/>
        <family val="2"/>
      </rPr>
      <t>接单</t>
    </r>
  </si>
  <si>
    <t>2026-05-21</t>
  </si>
  <si>
    <t>财务台账页</t>
  </si>
  <si>
    <t>自托管 ADMIN 专属台账页 /finances</t>
  </si>
  <si>
    <t>2026-05-27</t>
  </si>
  <si>
    <t>财务 P&amp;L 重建</t>
  </si>
  <si>
    <t>个人台账→真实经营 P&amp;L 模块 + 多币种成本编辑 + 按客逐人 xlsx 导出 + 3 阻塞 beta bug（checkout 卡死/自动登出/购物车选择）+ i18n/小程序预览修 + 散客批量建单</t>
  </si>
  <si>
    <t>~52h</t>
  </si>
  <si>
    <t>2026-05-28</t>
  </si>
  <si>
    <t>支付确认 + 备份</t>
  </si>
  <si>
    <t>人工确认收款 + 付款凭证截图 + admin 发票/签证状态 + 护照到期校验 + 低余位红标 + 每日 Postgres 备份脚本 + 成本改 CNY-only + 成本编辑移交财务 + 按已售座位实时指标</t>
  </si>
  <si>
    <t>~46h</t>
  </si>
  <si>
    <r>
      <rPr>
        <b/>
        <i/>
        <sz val="11"/>
        <rFont val="Arial"/>
        <family val="2"/>
        <charset val="1"/>
      </rPr>
      <t>═══ 2026-06</t>
    </r>
    <r>
      <rPr>
        <b/>
        <i/>
        <sz val="11"/>
        <rFont val="PingFang SC"/>
        <family val="2"/>
      </rPr>
      <t xml:space="preserve">：财务深化 </t>
    </r>
    <r>
      <rPr>
        <b/>
        <i/>
        <sz val="11"/>
        <rFont val="Arial"/>
        <family val="2"/>
        <charset val="1"/>
      </rPr>
      <t xml:space="preserve">+ </t>
    </r>
    <r>
      <rPr>
        <b/>
        <i/>
        <sz val="11"/>
        <rFont val="PingFang SC"/>
        <family val="2"/>
      </rPr>
      <t>操作部功能 ═══</t>
    </r>
  </si>
  <si>
    <t>2026-06-01</t>
  </si>
  <si>
    <t>第 3 月（6 月，4-6 月共 $96）</t>
  </si>
  <si>
    <t>2026-06-02</t>
  </si>
  <si>
    <t>财务明细 25 项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</si>
  <si>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PingFang SC"/>
        <family val="2"/>
      </rPr>
      <t>项收入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PingFang SC"/>
        <family val="2"/>
      </rPr>
      <t xml:space="preserve">成本拆分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按航班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PingFang SC"/>
        <family val="2"/>
      </rPr>
      <t xml:space="preserve">导出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成本周期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应收金额锁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反馈 </t>
    </r>
    <r>
      <rPr>
        <sz val="11"/>
        <color theme="1"/>
        <rFont val="Calibri"/>
        <family val="2"/>
        <charset val="1"/>
      </rPr>
      <t xml:space="preserve">v1 </t>
    </r>
    <r>
      <rPr>
        <sz val="11"/>
        <color theme="1"/>
        <rFont val="PingFang SC"/>
        <family val="2"/>
      </rPr>
      <t>修复（</t>
    </r>
    <r>
      <rPr>
        <sz val="11"/>
        <color theme="1"/>
        <rFont val="Calibri"/>
        <family val="2"/>
        <charset val="1"/>
      </rPr>
      <t xml:space="preserve">checkout </t>
    </r>
    <r>
      <rPr>
        <sz val="11"/>
        <color theme="1"/>
        <rFont val="PingFang SC"/>
        <family val="2"/>
      </rPr>
      <t>空白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PingFang SC"/>
        <family val="2"/>
      </rPr>
      <t>输入清空</t>
    </r>
    <r>
      <rPr>
        <sz val="11"/>
        <color theme="1"/>
        <rFont val="Calibri"/>
        <family val="2"/>
        <charset val="1"/>
      </rPr>
      <t>/PNR alpha-3/</t>
    </r>
    <r>
      <rPr>
        <sz val="11"/>
        <color theme="1"/>
        <rFont val="PingFang SC"/>
        <family val="2"/>
      </rPr>
      <t>导出）</t>
    </r>
  </si>
  <si>
    <t>~40h</t>
  </si>
  <si>
    <t>2026-06-10</t>
  </si>
  <si>
    <t>操作功能批次 + 支付幂等</t>
  </si>
  <si>
    <t>余位档位+候补 / 批量送签 / 操作预警 / 拼房表导出 / 座位锁 / 3 模板订单导出 / 产品编码 / 酒店房控 + 支付幂等行锁余额读 + 财务口径双名标签 + web 性能 memo/debounce + infra 健康检查/redis 加固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</si>
  <si>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Claude Code token </t>
    </r>
    <r>
      <rPr>
        <sz val="11"/>
        <color theme="1"/>
        <rFont val="PingFang SC"/>
        <family val="2"/>
      </rPr>
      <t>用量（持续开发用）</t>
    </r>
  </si>
  <si>
    <r>
      <rPr>
        <b/>
        <i/>
        <sz val="11"/>
        <rFont val="Arial"/>
        <family val="2"/>
        <charset val="1"/>
      </rPr>
      <t xml:space="preserve">═══ 2026-06 </t>
    </r>
    <r>
      <rPr>
        <b/>
        <i/>
        <sz val="11"/>
        <rFont val="PingFang SC"/>
        <family val="2"/>
      </rPr>
      <t xml:space="preserve">下半月：前台 </t>
    </r>
    <r>
      <rPr>
        <b/>
        <i/>
        <sz val="11"/>
        <rFont val="Arial"/>
        <family val="2"/>
        <charset val="1"/>
      </rPr>
      <t xml:space="preserve">OTA </t>
    </r>
    <r>
      <rPr>
        <b/>
        <i/>
        <sz val="11"/>
        <rFont val="PingFang SC"/>
        <family val="2"/>
      </rPr>
      <t xml:space="preserve">重做 </t>
    </r>
    <r>
      <rPr>
        <b/>
        <i/>
        <sz val="11"/>
        <rFont val="Arial"/>
        <family val="2"/>
        <charset val="1"/>
      </rPr>
      <t xml:space="preserve">+ </t>
    </r>
    <r>
      <rPr>
        <b/>
        <i/>
        <sz val="11"/>
        <rFont val="PingFang SC"/>
        <family val="2"/>
      </rPr>
      <t xml:space="preserve">椰岛品牌 </t>
    </r>
    <r>
      <rPr>
        <b/>
        <i/>
        <sz val="11"/>
        <rFont val="Arial"/>
        <family val="2"/>
        <charset val="1"/>
      </rPr>
      <t xml:space="preserve">+ </t>
    </r>
    <r>
      <rPr>
        <b/>
        <i/>
        <sz val="11"/>
        <rFont val="PingFang SC"/>
        <family val="2"/>
      </rPr>
      <t>护照</t>
    </r>
    <r>
      <rPr>
        <b/>
        <i/>
        <sz val="11"/>
        <rFont val="Arial"/>
        <family val="2"/>
        <charset val="1"/>
      </rPr>
      <t>OCR ═══</t>
    </r>
  </si>
  <si>
    <t>2026-06-14</t>
  </si>
  <si>
    <r>
      <rPr>
        <sz val="11"/>
        <color theme="1"/>
        <rFont val="Calibri"/>
        <family val="2"/>
        <charset val="1"/>
      </rPr>
      <t xml:space="preserve">OTA </t>
    </r>
    <r>
      <rPr>
        <sz val="11"/>
        <color theme="1"/>
        <rFont val="PingFang SC"/>
        <family val="2"/>
      </rPr>
      <t xml:space="preserve">前台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>全站视觉</t>
    </r>
  </si>
  <si>
    <r>
      <rPr>
        <sz val="11"/>
        <color theme="1"/>
        <rFont val="Calibri"/>
        <family val="2"/>
        <charset val="1"/>
      </rPr>
      <t xml:space="preserve">OTA-parity </t>
    </r>
    <r>
      <rPr>
        <sz val="11"/>
        <color theme="1"/>
        <rFont val="PingFang SC"/>
        <family val="2"/>
      </rPr>
      <t>前台新功能（游客下单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PingFang SC"/>
        <family val="2"/>
      </rPr>
      <t>评价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PingFang SC"/>
        <family val="2"/>
      </rPr>
      <t>产品详情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PingFang SC"/>
        <family val="2"/>
      </rPr>
      <t>搜索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PingFang SC"/>
        <family val="2"/>
      </rPr>
      <t>信任</t>
    </r>
    <r>
      <rPr>
        <sz val="11"/>
        <color theme="1"/>
        <rFont val="Calibri"/>
        <family val="2"/>
        <charset val="1"/>
      </rPr>
      <t>/SEO</t>
    </r>
    <r>
      <rPr>
        <sz val="11"/>
        <color theme="1"/>
        <rFont val="PingFang SC"/>
        <family val="2"/>
      </rPr>
      <t>）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>全站视觉重设计（</t>
    </r>
    <r>
      <rPr>
        <sz val="11"/>
        <color theme="1"/>
        <rFont val="Calibri"/>
        <family val="2"/>
        <charset val="1"/>
      </rPr>
      <t xml:space="preserve">Sunlit Coast </t>
    </r>
    <r>
      <rPr>
        <sz val="11"/>
        <color theme="1"/>
        <rFont val="PingFang SC"/>
        <family val="2"/>
      </rPr>
      <t xml:space="preserve">前台 </t>
    </r>
    <r>
      <rPr>
        <sz val="11"/>
        <color theme="1"/>
        <rFont val="Calibri"/>
        <family val="2"/>
        <charset val="1"/>
      </rPr>
      <t xml:space="preserve">+ Console </t>
    </r>
    <r>
      <rPr>
        <sz val="11"/>
        <color theme="1"/>
        <rFont val="PingFang SC"/>
        <family val="2"/>
      </rPr>
      <t>后台）</t>
    </r>
  </si>
  <si>
    <t>2026-06-16</t>
  </si>
  <si>
    <t>椰岛品牌 + 仓位阶梯定价</t>
  </si>
  <si>
    <t>椰岛品牌重塑/海岛视觉/静态落地页 + 仓位阶梯动态定价（每档 N 张@价）+ 航班月历库存视图/阶梯编辑 + 套餐增强（add-on 单住/商务·可售日期·大人小孩容量·房间数加价）</t>
  </si>
  <si>
    <t>~42h</t>
  </si>
  <si>
    <t>2026-06-18</t>
  </si>
  <si>
    <t>录单/订单/支付/代理 新功能批次</t>
  </si>
  <si>
    <t>单笔录单选产品类型+指定代理 + 订单签证状态枚举+结构化备注 + 订单可编辑（改期/换人/售后费用）+ 多付/批量到账 + 团队议价结算价+Excel 导入 + 代理月结+余额抵冲 + 统一收款码+对账台+挂账池+客户上传凭证</t>
  </si>
  <si>
    <t>2026-06-23</t>
  </si>
  <si>
    <t>护照 OCR Qwen3-VL</t>
  </si>
  <si>
    <t>护照 OCR 升级 Qwen3-VL（checkout 抓全字段 + 后台粘贴式配置 + 引擎标签 + 中文名/签发日期字段）+ 后台录单单住/商务 + 签证台显示护照</t>
  </si>
  <si>
    <t>~24h</t>
  </si>
  <si>
    <t>2026-06-24</t>
  </si>
  <si>
    <t>DashScope Qwen3-VL</t>
  </si>
  <si>
    <t>护照 OCR 模型测试调用（DashScope / Qwen3-VL）</t>
  </si>
  <si>
    <t>2026-06-25</t>
  </si>
  <si>
    <r>
      <rPr>
        <sz val="11"/>
        <color theme="1"/>
        <rFont val="Calibri"/>
        <family val="2"/>
        <charset val="1"/>
      </rPr>
      <t xml:space="preserve">0625 </t>
    </r>
    <r>
      <rPr>
        <sz val="11"/>
        <color theme="1"/>
        <rFont val="PingFang SC"/>
        <family val="2"/>
      </rPr>
      <t>新增功能</t>
    </r>
  </si>
  <si>
    <t>余位同步/座位统计 + 套餐录单 + 分房导出</t>
  </si>
  <si>
    <t>~9h</t>
  </si>
  <si>
    <t>═══ 合计 ═══</t>
  </si>
  <si>
    <t>投产后月成本预估（3 阶段）</t>
  </si>
  <si>
    <t>蓝色 = 假设输入；黑色 = 公式合计；金额单位：USD/月</t>
  </si>
  <si>
    <r>
      <rPr>
        <b/>
        <sz val="11"/>
        <color rgb="FFFFFFFF"/>
        <rFont val="Arial"/>
        <family val="2"/>
        <charset val="1"/>
      </rPr>
      <t xml:space="preserve">A · </t>
    </r>
    <r>
      <rPr>
        <b/>
        <sz val="11"/>
        <color rgb="FFFFFFFF"/>
        <rFont val="PingFang SC"/>
        <family val="2"/>
      </rPr>
      <t>内部测试期</t>
    </r>
  </si>
  <si>
    <r>
      <rPr>
        <b/>
        <sz val="11"/>
        <color rgb="FFFFFFFF"/>
        <rFont val="Arial"/>
        <family val="2"/>
        <charset val="1"/>
      </rPr>
      <t xml:space="preserve">B · </t>
    </r>
    <r>
      <rPr>
        <b/>
        <sz val="11"/>
        <color rgb="FFFFFFFF"/>
        <rFont val="PingFang SC"/>
        <family val="2"/>
      </rPr>
      <t xml:space="preserve">公测期 </t>
    </r>
    <r>
      <rPr>
        <b/>
        <sz val="11"/>
        <color rgb="FFFFFFFF"/>
        <rFont val="Arial"/>
        <family val="2"/>
        <charset val="1"/>
      </rPr>
      <t xml:space="preserve">(~500 </t>
    </r>
    <r>
      <rPr>
        <b/>
        <sz val="11"/>
        <color rgb="FFFFFFFF"/>
        <rFont val="PingFang SC"/>
        <family val="2"/>
      </rPr>
      <t>客户</t>
    </r>
    <r>
      <rPr>
        <b/>
        <sz val="11"/>
        <color rgb="FFFFFFFF"/>
        <rFont val="Arial"/>
        <family val="2"/>
        <charset val="1"/>
      </rPr>
      <t>)</t>
    </r>
  </si>
  <si>
    <r>
      <rPr>
        <b/>
        <sz val="11"/>
        <color rgb="FFFFFFFF"/>
        <rFont val="Arial"/>
        <family val="2"/>
        <charset val="1"/>
      </rPr>
      <t xml:space="preserve">C · </t>
    </r>
    <r>
      <rPr>
        <b/>
        <sz val="11"/>
        <color rgb="FFFFFFFF"/>
        <rFont val="PingFang SC"/>
        <family val="2"/>
      </rPr>
      <t xml:space="preserve">稳定期 </t>
    </r>
    <r>
      <rPr>
        <b/>
        <sz val="11"/>
        <color rgb="FFFFFFFF"/>
        <rFont val="Arial"/>
        <family val="2"/>
        <charset val="1"/>
      </rPr>
      <t xml:space="preserve">(~5000 </t>
    </r>
    <r>
      <rPr>
        <b/>
        <sz val="11"/>
        <color rgb="FFFFFFFF"/>
        <rFont val="PingFang SC"/>
        <family val="2"/>
      </rPr>
      <t>客户</t>
    </r>
    <r>
      <rPr>
        <b/>
        <sz val="11"/>
        <color rgb="FFFFFFFF"/>
        <rFont val="Arial"/>
        <family val="2"/>
        <charset val="1"/>
      </rPr>
      <t>)</t>
    </r>
  </si>
  <si>
    <t>AI / Token</t>
  </si>
  <si>
    <t>对话量×单价；A: 50-200/天 ｜ B: 500-1500/天 ｜ C: 3000-8000/天</t>
  </si>
  <si>
    <t>阿里云 HK 4C8G → 8C16G + 备份机 → 主从 + worker</t>
  </si>
  <si>
    <t>数据库（独立 RDS）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</si>
  <si>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PingFang SC"/>
        <family val="2"/>
      </rPr>
      <t xml:space="preserve">起独立 </t>
    </r>
    <r>
      <rPr>
        <sz val="11"/>
        <color theme="1"/>
        <rFont val="Calibri"/>
        <family val="2"/>
        <charset val="1"/>
      </rPr>
      <t>4G</t>
    </r>
    <r>
      <rPr>
        <sz val="11"/>
        <color theme="1"/>
        <rFont val="PingFang SC"/>
        <family val="2"/>
      </rPr>
      <t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PingFang SC"/>
        <family val="2"/>
      </rPr>
      <t xml:space="preserve">主从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>自动备份</t>
    </r>
  </si>
  <si>
    <r>
      <rPr>
        <sz val="11"/>
        <color theme="1"/>
        <rFont val="Calibri"/>
        <family val="2"/>
        <charset val="1"/>
      </rPr>
      <t>CDN</t>
    </r>
    <r>
      <rPr>
        <sz val="11"/>
        <color theme="1"/>
        <rFont val="PingFang SC"/>
        <family val="2"/>
      </rPr>
      <t>（</t>
    </r>
    <r>
      <rPr>
        <sz val="11"/>
        <color theme="1"/>
        <rFont val="Calibri"/>
        <family val="2"/>
        <charset val="1"/>
      </rPr>
      <t>Cloudflare</t>
    </r>
    <r>
      <rPr>
        <sz val="11"/>
        <color theme="1"/>
        <rFont val="PingFang SC"/>
        <family val="2"/>
      </rPr>
      <t>）</t>
    </r>
  </si>
  <si>
    <t>免费 → Pro $20 → Business $200，按流量分级</t>
  </si>
  <si>
    <t>邮件 / 短信</t>
  </si>
  <si>
    <t>阿里云通信 / Twilio 按量计费</t>
  </si>
  <si>
    <t>监控（Sentry + 日志）</t>
  </si>
  <si>
    <r>
      <rPr>
        <sz val="11"/>
        <color theme="1"/>
        <rFont val="Calibri"/>
        <family val="2"/>
        <charset val="1"/>
      </rPr>
      <t xml:space="preserve">Team plan + </t>
    </r>
    <r>
      <rPr>
        <sz val="11"/>
        <color theme="1"/>
        <rFont val="PingFang SC"/>
        <family val="2"/>
      </rPr>
      <t>日志聚合</t>
    </r>
  </si>
  <si>
    <t>其他（域名/SSL/备份）</t>
  </si>
  <si>
    <t>域名续费、SSL 免费、备份外发</t>
  </si>
  <si>
    <t>月成本合计</t>
  </si>
  <si>
    <r>
      <rPr>
        <i/>
        <sz val="11"/>
        <rFont val="Arial"/>
        <family val="2"/>
        <charset val="1"/>
      </rPr>
      <t xml:space="preserve">× 12 </t>
    </r>
    <r>
      <rPr>
        <i/>
        <sz val="11"/>
        <rFont val="PingFang SC"/>
        <family val="2"/>
      </rPr>
      <t>月（年）</t>
    </r>
  </si>
  <si>
    <r>
      <rPr>
        <b/>
        <sz val="14"/>
        <rFont val="Arial"/>
        <family val="2"/>
        <charset val="1"/>
      </rPr>
      <t xml:space="preserve">AI </t>
    </r>
    <r>
      <rPr>
        <b/>
        <sz val="14"/>
        <rFont val="PingFang SC"/>
        <family val="2"/>
      </rPr>
      <t>单次对话成本（</t>
    </r>
    <r>
      <rPr>
        <b/>
        <sz val="14"/>
        <rFont val="Arial"/>
        <family val="2"/>
        <charset val="1"/>
      </rPr>
      <t xml:space="preserve">Claude Sonnet 4.6 </t>
    </r>
    <r>
      <rPr>
        <b/>
        <sz val="14"/>
        <rFont val="PingFang SC"/>
        <family val="2"/>
      </rPr>
      <t>定价）</t>
    </r>
  </si>
  <si>
    <t>定价（USD per 1M tokens）</t>
  </si>
  <si>
    <t>输入 token</t>
  </si>
  <si>
    <t>输出 token</t>
  </si>
  <si>
    <t>缓存读取（输入打 9 折）</t>
  </si>
  <si>
    <t>单次对话假设（5 个轮次平均）</t>
  </si>
  <si>
    <t>输入 tokens（无缓存）</t>
  </si>
  <si>
    <t>输入 tokens（缓存命中）</t>
  </si>
  <si>
    <t>输入 tokens（缓存未命中）</t>
  </si>
  <si>
    <t>输出 tokens</t>
  </si>
  <si>
    <t>成本计算</t>
  </si>
  <si>
    <t>不带 prompt caching</t>
  </si>
  <si>
    <t>输入成本</t>
  </si>
  <si>
    <t>输出成本</t>
  </si>
  <si>
    <t>对话总成本（无缓存）</t>
  </si>
  <si>
    <t>启用 prompt caching</t>
  </si>
  <si>
    <t>缓存读取成本</t>
  </si>
  <si>
    <t>全价输入成本</t>
  </si>
  <si>
    <t>对话总成本（含缓存）</t>
  </si>
  <si>
    <t>省下</t>
  </si>
  <si>
    <t>对话量 → 月成本预估（含缓存）</t>
  </si>
  <si>
    <t>对话/天</t>
  </si>
  <si>
    <t>对话/月</t>
  </si>
  <si>
    <t>月成本（USD）</t>
  </si>
  <si>
    <t>年成本（USD）</t>
  </si>
  <si>
    <t>单位经济学（成本 vs 收入）</t>
  </si>
  <si>
    <t>蓝色 = 假设；黑色 = 公式；绿色 = 跨表引用</t>
  </si>
  <si>
    <t>汇率 CNY → USD</t>
  </si>
  <si>
    <t>平台抽成率</t>
  </si>
  <si>
    <t>阶段</t>
  </si>
  <si>
    <t>月单量</t>
  </si>
  <si>
    <t>客单价（¥）</t>
  </si>
  <si>
    <t>月 GMV（¥）</t>
  </si>
  <si>
    <t>月毛利（¥）</t>
  </si>
  <si>
    <t>月毛利（$）</t>
  </si>
  <si>
    <t>公测期</t>
  </si>
  <si>
    <t>稳定期</t>
  </si>
  <si>
    <t>规模化</t>
  </si>
  <si>
    <t>成本覆盖比</t>
  </si>
  <si>
    <t>月成本（$）</t>
  </si>
  <si>
    <t>覆盖倍数</t>
  </si>
  <si>
    <t>毛利率（毛利/GMV）</t>
  </si>
  <si>
    <t>结论：单位经济学健康。关键不是控成本，是订单量做起来。</t>
  </si>
  <si>
    <t>2026-06 首期回款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</si>
</sst>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;&quot;($&quot;#,##0\);\-"/>
    <numFmt numFmtId="165" formatCode="0.0000"/>
    <numFmt numFmtId="166" formatCode="\$#,##0.00;&quot;($&quot;#,##0.00\);\-"/>
    <numFmt numFmtId="167" formatCode="0.0%"/>
    <numFmt numFmtId="168" formatCode="\¥#,##0"/>
    <numFmt numFmtId="169" formatCode="0.0\×"/>
  </numFmts>
  <fonts count="22">
    <font>
      <sz val="11"/>
      <color theme="1"/>
      <name val="Calibri"/>
      <family val="2"/>
      <charset val="1"/>
    </font>
    <font>
      <b/>
      <sz val="14"/>
      <name val="PingFang SC"/>
      <family val="2"/>
      <charset val="1"/>
    </font>
    <font>
      <b/>
      <sz val="11"/>
      <color rgb="FFFFFFFF"/>
      <name val="PingFang SC"/>
      <family val="2"/>
      <charset val="1"/>
    </font>
    <font>
      <sz val="11"/>
      <color theme="1"/>
      <name val="PingFang SC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PingFang SC"/>
      <family val="2"/>
    </font>
    <font>
      <b/>
      <sz val="11"/>
      <name val="PingFang SC"/>
      <family val="2"/>
      <charset val="1"/>
    </font>
    <font>
      <b/>
      <sz val="11"/>
      <name val="Arial"/>
      <family val="2"/>
      <charset val="1"/>
    </font>
    <font>
      <sz val="11"/>
      <color rgb="FF0000FF"/>
      <name val="Arial"/>
      <family val="2"/>
    </font>
    <font>
      <i/>
      <sz val="10"/>
      <color rgb="FF666666"/>
      <name val="PingFang SC"/>
      <family val="2"/>
      <charset val="1"/>
    </font>
    <font>
      <b/>
      <i/>
      <sz val="11"/>
      <name val="Arial"/>
      <family val="2"/>
      <charset val="1"/>
    </font>
    <font>
      <b/>
      <i/>
      <sz val="11"/>
      <name val="PingFang SC"/>
      <family val="2"/>
    </font>
    <font>
      <sz val="11"/>
      <color rgb="FF0000FF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FFFFFF"/>
      <name val="PingFang SC"/>
      <family val="2"/>
    </font>
    <font>
      <i/>
      <sz val="11"/>
      <name val="Arial"/>
      <family val="2"/>
      <charset val="1"/>
    </font>
    <font>
      <i/>
      <sz val="11"/>
      <name val="PingFang SC"/>
      <family val="2"/>
    </font>
    <font>
      <b/>
      <sz val="14"/>
      <name val="Arial"/>
      <family val="2"/>
      <charset val="1"/>
    </font>
    <font>
      <b/>
      <sz val="14"/>
      <name val="PingFang SC"/>
      <family val="2"/>
    </font>
    <font>
      <i/>
      <sz val="11"/>
      <name val="PingFang SC"/>
      <family val="2"/>
      <charset val="1"/>
    </font>
    <font>
      <sz val="11"/>
      <color rgb="FF008000"/>
      <name val="Arial"/>
      <family val="2"/>
      <charset val="1"/>
    </font>
    <font>
      <b/>
      <i/>
      <sz val="11"/>
      <color rgb="FF2C5F2D"/>
      <name val="PingFang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FFF2CC"/>
        <bgColor rgb="FFE7E8D1"/>
      </patternFill>
    </fill>
    <fill>
      <patternFill patternType="solid">
        <fgColor rgb="FFE7E8D1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1" fillId="0" borderId="0" xfId="0" applyFont="1"/>
    <xf numFmtId="0" fontId="6" fillId="4" borderId="0" xfId="0" applyFont="1" applyFill="1"/>
    <xf numFmtId="0" fontId="17" fillId="0" borderId="0" xfId="0" applyFont="1"/>
    <xf numFmtId="0" fontId="10" fillId="4" borderId="0" xfId="0" applyFont="1" applyFill="1"/>
    <xf numFmtId="0" fontId="9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6" fillId="3" borderId="1" xfId="0" applyFont="1" applyFill="1" applyBorder="1"/>
    <xf numFmtId="164" fontId="7" fillId="3" borderId="1" xfId="0" applyNumberFormat="1" applyFont="1" applyFill="1" applyBorder="1" applyAlignment="1">
      <alignment horizontal="right" vertical="center"/>
    </xf>
    <xf numFmtId="0" fontId="0" fillId="3" borderId="1" xfId="0" applyFill="1" applyBorder="1"/>
    <xf numFmtId="0" fontId="6" fillId="3" borderId="0" xfId="0" applyFont="1" applyFill="1"/>
    <xf numFmtId="0" fontId="3" fillId="0" borderId="0" xfId="0" applyFont="1"/>
    <xf numFmtId="165" fontId="8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3" fontId="8" fillId="0" borderId="0" xfId="0" applyNumberFormat="1" applyFont="1"/>
    <xf numFmtId="4" fontId="7" fillId="3" borderId="0" xfId="0" applyNumberFormat="1" applyFont="1" applyFill="1"/>
    <xf numFmtId="0" fontId="10" fillId="4" borderId="0" xfId="0" applyFont="1" applyFill="1"/>
    <xf numFmtId="164" fontId="12" fillId="0" borderId="1" xfId="0" applyNumberFormat="1" applyFont="1" applyBorder="1" applyAlignment="1">
      <alignment horizontal="right" vertical="center"/>
    </xf>
    <xf numFmtId="0" fontId="12" fillId="0" borderId="0" xfId="0" applyFont="1"/>
    <xf numFmtId="0" fontId="13" fillId="2" borderId="1" xfId="0" applyFont="1" applyFill="1" applyBorder="1" applyAlignment="1">
      <alignment horizontal="center" vertical="center"/>
    </xf>
    <xf numFmtId="0" fontId="15" fillId="0" borderId="0" xfId="0" applyFont="1"/>
    <xf numFmtId="164" fontId="0" fillId="0" borderId="0" xfId="0" applyNumberFormat="1" applyAlignment="1">
      <alignment horizontal="right" vertical="center"/>
    </xf>
    <xf numFmtId="166" fontId="12" fillId="0" borderId="1" xfId="0" applyNumberFormat="1" applyFont="1" applyBorder="1" applyAlignment="1">
      <alignment horizontal="right" vertical="center"/>
    </xf>
    <xf numFmtId="3" fontId="12" fillId="0" borderId="1" xfId="0" applyNumberFormat="1" applyFont="1" applyBorder="1" applyAlignment="1">
      <alignment horizontal="right" vertical="center"/>
    </xf>
    <xf numFmtId="0" fontId="19" fillId="0" borderId="0" xfId="0" applyFont="1"/>
    <xf numFmtId="166" fontId="0" fillId="0" borderId="0" xfId="0" applyNumberFormat="1" applyAlignment="1">
      <alignment horizontal="right" vertical="center"/>
    </xf>
    <xf numFmtId="0" fontId="6" fillId="0" borderId="0" xfId="0" applyFont="1"/>
    <xf numFmtId="166" fontId="7" fillId="3" borderId="0" xfId="0" applyNumberFormat="1" applyFont="1" applyFill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2" fontId="12" fillId="0" borderId="0" xfId="0" applyNumberFormat="1" applyFont="1"/>
    <xf numFmtId="167" fontId="12" fillId="0" borderId="0" xfId="0" applyNumberFormat="1" applyFont="1"/>
    <xf numFmtId="168" fontId="0" fillId="0" borderId="1" xfId="0" applyNumberForma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169" fontId="0" fillId="0" borderId="1" xfId="0" applyNumberForma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8D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C5F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showGridLines="0" zoomScale="117" zoomScaleNormal="100" workbookViewId="0">
      <selection activeCell="B19" sqref="B19"/>
    </sheetView>
  </sheetViews>
  <sheetFormatPr baseColWidth="10" defaultColWidth="8.6640625" defaultRowHeight="15"/>
  <cols>
    <col min="1" max="1" width="28" customWidth="1"/>
    <col min="2" max="2" width="16" customWidth="1"/>
    <col min="3" max="3" width="80" customWidth="1"/>
  </cols>
  <sheetData>
    <row r="1" spans="1:3" ht="21.75" customHeight="1">
      <c r="A1" s="6" t="s">
        <v>0</v>
      </c>
      <c r="B1" s="6"/>
      <c r="C1" s="6"/>
    </row>
    <row r="3" spans="1:3" ht="18" customHeight="1">
      <c r="A3" s="7" t="s">
        <v>1</v>
      </c>
      <c r="B3" s="7" t="s">
        <v>2</v>
      </c>
      <c r="C3" s="7" t="s">
        <v>3</v>
      </c>
    </row>
    <row r="4" spans="1:3" ht="15.75" customHeight="1">
      <c r="A4" s="8" t="s">
        <v>4</v>
      </c>
      <c r="B4" s="9">
        <f>SUMIF(支出明细!B:B,"开发外包",支出明细!D:D)</f>
        <v>11800</v>
      </c>
      <c r="C4" s="8" t="s">
        <v>5</v>
      </c>
    </row>
    <row r="5" spans="1:3" ht="18.75" customHeight="1">
      <c r="A5" s="10" t="s">
        <v>6</v>
      </c>
      <c r="B5" s="9">
        <f>SUMIF(支出明细!B:B,"Claude Code",支出明细!D:D)</f>
        <v>210</v>
      </c>
      <c r="C5" s="8" t="s">
        <v>7</v>
      </c>
    </row>
    <row r="6" spans="1:3" ht="18.75" customHeight="1">
      <c r="A6" s="10" t="s">
        <v>8</v>
      </c>
      <c r="B6" s="9">
        <f>SUMIF(支出明细!B:B,"OpenAI",支出明细!D:D)</f>
        <v>130</v>
      </c>
      <c r="C6" s="10" t="s">
        <v>9</v>
      </c>
    </row>
    <row r="7" spans="1:3" ht="18.75" customHeight="1">
      <c r="A7" s="8" t="s">
        <v>10</v>
      </c>
      <c r="B7" s="9">
        <f>SUMIF(支出明细!B:B,"服务器",支出明细!D:D)</f>
        <v>96</v>
      </c>
      <c r="C7" s="10" t="s">
        <v>11</v>
      </c>
    </row>
    <row r="8" spans="1:3" ht="18.75" customHeight="1">
      <c r="A8" s="8" t="s">
        <v>12</v>
      </c>
      <c r="B8" s="9">
        <f>SUMIF(支出明细!B:B,"域名",支出明细!D:D)</f>
        <v>50</v>
      </c>
      <c r="C8" s="10" t="s">
        <v>13</v>
      </c>
    </row>
    <row r="9" spans="1:3" ht="18.75" customHeight="1">
      <c r="A9" s="10" t="s">
        <v>14</v>
      </c>
      <c r="B9" s="9">
        <f>SUMIF(支出明细!B:B,"GitHub",支出明细!D:D)</f>
        <v>40</v>
      </c>
      <c r="C9" s="10" t="s">
        <v>15</v>
      </c>
    </row>
    <row r="10" spans="1:3" ht="18.75" customHeight="1">
      <c r="A10" s="8" t="s">
        <v>16</v>
      </c>
      <c r="B10" s="9">
        <f>SUMIF(支出明细!B:B,"设计",支出明细!D:D)</f>
        <v>80</v>
      </c>
      <c r="C10" s="10" t="s">
        <v>17</v>
      </c>
    </row>
    <row r="11" spans="1:3" ht="18.75" customHeight="1">
      <c r="A11" s="8" t="s">
        <v>18</v>
      </c>
      <c r="B11" s="9">
        <f>SUMIF(支出明细!B:B,"杂项",支出明细!D:D)</f>
        <v>165</v>
      </c>
      <c r="C11" s="10" t="s">
        <v>19</v>
      </c>
    </row>
    <row r="12" spans="1:3" ht="18.75" customHeight="1">
      <c r="A12" s="11" t="s">
        <v>20</v>
      </c>
      <c r="B12" s="12">
        <f>支出明细!D42</f>
        <v>12571</v>
      </c>
      <c r="C12" s="13"/>
    </row>
    <row r="13" spans="1:3" ht="18" customHeight="1"/>
    <row r="14" spans="1:3" ht="16.5" customHeight="1">
      <c r="A14" s="14" t="s">
        <v>21</v>
      </c>
    </row>
    <row r="15" spans="1:3" ht="16.5" customHeight="1">
      <c r="A15" s="15" t="s">
        <v>22</v>
      </c>
      <c r="B15" s="16">
        <v>6.8194999999999997</v>
      </c>
      <c r="C15" s="15" t="s">
        <v>23</v>
      </c>
    </row>
    <row r="16" spans="1:3" ht="16.5" customHeight="1">
      <c r="A16" s="15" t="s">
        <v>24</v>
      </c>
      <c r="B16" s="17">
        <f>B12</f>
        <v>12571</v>
      </c>
      <c r="C16" s="15" t="e">
        <f>已花合计</f>
        <v>#NAME?</v>
      </c>
    </row>
    <row r="17" spans="1:3" ht="16.5" customHeight="1">
      <c r="A17" s="15" t="s">
        <v>25</v>
      </c>
      <c r="B17" s="18">
        <f>B16*B15</f>
        <v>85727.934500000003</v>
      </c>
      <c r="C17" s="15" t="s">
        <v>26</v>
      </c>
    </row>
    <row r="18" spans="1:3" ht="16.5" customHeight="1">
      <c r="A18" s="15" t="s">
        <v>27</v>
      </c>
      <c r="B18" s="19">
        <v>50000</v>
      </c>
      <c r="C18" s="15" t="s">
        <v>209</v>
      </c>
    </row>
    <row r="19" spans="1:3" ht="15" customHeight="1">
      <c r="A19" s="14" t="s">
        <v>28</v>
      </c>
      <c r="B19" s="20">
        <f>B17-B18</f>
        <v>35727.934500000003</v>
      </c>
      <c r="C19" s="15" t="s">
        <v>29</v>
      </c>
    </row>
  </sheetData>
  <mergeCells count="1">
    <mergeCell ref="A1:C1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tabSelected="1" zoomScaleNormal="100" workbookViewId="0">
      <pane ySplit="4" topLeftCell="A17" activePane="bottomLeft" state="frozen"/>
      <selection pane="bottomLeft" activeCell="B43" sqref="B43"/>
    </sheetView>
  </sheetViews>
  <sheetFormatPr baseColWidth="10" defaultColWidth="8.6640625" defaultRowHeight="15"/>
  <cols>
    <col min="1" max="1" width="14" customWidth="1"/>
    <col min="2" max="2" width="16" customWidth="1"/>
    <col min="3" max="3" width="22" customWidth="1"/>
    <col min="4" max="4" width="21.6640625" customWidth="1"/>
    <col min="5" max="5" width="106" customWidth="1"/>
    <col min="6" max="6" width="12" customWidth="1"/>
  </cols>
  <sheetData>
    <row r="1" spans="1:6" ht="20.25" customHeight="1">
      <c r="A1" s="6" t="s">
        <v>30</v>
      </c>
      <c r="B1" s="6"/>
      <c r="C1" s="6"/>
      <c r="D1" s="6"/>
      <c r="E1" s="6"/>
      <c r="F1" s="6"/>
    </row>
    <row r="2" spans="1:6" ht="15" customHeight="1">
      <c r="A2" s="5" t="s">
        <v>31</v>
      </c>
      <c r="B2" s="5"/>
      <c r="C2" s="5"/>
      <c r="D2" s="5"/>
      <c r="E2" s="5"/>
      <c r="F2" s="5"/>
    </row>
    <row r="4" spans="1:6" ht="16.5" customHeight="1">
      <c r="A4" s="7" t="s">
        <v>32</v>
      </c>
      <c r="B4" s="7" t="s">
        <v>1</v>
      </c>
      <c r="C4" s="7" t="s">
        <v>33</v>
      </c>
      <c r="D4" s="7" t="s">
        <v>34</v>
      </c>
      <c r="E4" s="7" t="s">
        <v>35</v>
      </c>
      <c r="F4" s="7" t="s">
        <v>36</v>
      </c>
    </row>
    <row r="5" spans="1:6" ht="16.5" customHeight="1">
      <c r="A5" s="4" t="s">
        <v>37</v>
      </c>
      <c r="B5" s="4"/>
      <c r="C5" s="4"/>
      <c r="D5" s="4"/>
      <c r="E5" s="4"/>
      <c r="F5" s="4"/>
    </row>
    <row r="6" spans="1:6" ht="32.25" customHeight="1">
      <c r="A6" s="10" t="s">
        <v>38</v>
      </c>
      <c r="B6" s="8" t="s">
        <v>4</v>
      </c>
      <c r="C6" s="10" t="s">
        <v>39</v>
      </c>
      <c r="D6" s="22">
        <v>800</v>
      </c>
      <c r="E6" s="10" t="s">
        <v>40</v>
      </c>
      <c r="F6" s="10" t="s">
        <v>41</v>
      </c>
    </row>
    <row r="7" spans="1:6" ht="32.25" customHeight="1">
      <c r="A7" s="10" t="s">
        <v>42</v>
      </c>
      <c r="B7" s="8" t="s">
        <v>4</v>
      </c>
      <c r="C7" s="10" t="s">
        <v>43</v>
      </c>
      <c r="D7" s="22">
        <v>900</v>
      </c>
      <c r="E7" s="10" t="s">
        <v>44</v>
      </c>
      <c r="F7" s="10" t="s">
        <v>45</v>
      </c>
    </row>
    <row r="8" spans="1:6" ht="16.5" customHeight="1">
      <c r="A8" s="10" t="s">
        <v>46</v>
      </c>
      <c r="B8" s="8" t="s">
        <v>4</v>
      </c>
      <c r="C8" s="10" t="s">
        <v>47</v>
      </c>
      <c r="D8" s="22">
        <v>850</v>
      </c>
      <c r="E8" s="10" t="s">
        <v>48</v>
      </c>
      <c r="F8" s="10" t="s">
        <v>41</v>
      </c>
    </row>
    <row r="9" spans="1:6" ht="16.5" customHeight="1">
      <c r="A9" s="10" t="s">
        <v>49</v>
      </c>
      <c r="B9" s="8" t="s">
        <v>50</v>
      </c>
      <c r="C9" s="8" t="s">
        <v>51</v>
      </c>
      <c r="D9" s="22">
        <v>32</v>
      </c>
      <c r="E9" s="10" t="s">
        <v>52</v>
      </c>
      <c r="F9" s="10"/>
    </row>
    <row r="10" spans="1:6" ht="16.5" customHeight="1">
      <c r="A10" s="10" t="s">
        <v>53</v>
      </c>
      <c r="B10" s="8" t="s">
        <v>54</v>
      </c>
      <c r="C10" s="10" t="s">
        <v>55</v>
      </c>
      <c r="D10" s="22">
        <v>50</v>
      </c>
      <c r="E10" s="10" t="s">
        <v>13</v>
      </c>
      <c r="F10" s="10"/>
    </row>
    <row r="11" spans="1:6" ht="32.25" customHeight="1">
      <c r="A11" s="10" t="s">
        <v>56</v>
      </c>
      <c r="B11" s="8" t="s">
        <v>4</v>
      </c>
      <c r="C11" s="10" t="s">
        <v>57</v>
      </c>
      <c r="D11" s="22">
        <v>800</v>
      </c>
      <c r="E11" s="8" t="s">
        <v>58</v>
      </c>
      <c r="F11" s="10" t="s">
        <v>41</v>
      </c>
    </row>
    <row r="12" spans="1:6" ht="32.25" customHeight="1">
      <c r="A12" s="10" t="s">
        <v>59</v>
      </c>
      <c r="B12" s="8" t="s">
        <v>4</v>
      </c>
      <c r="C12" s="10" t="s">
        <v>60</v>
      </c>
      <c r="D12" s="22">
        <v>1000</v>
      </c>
      <c r="E12" s="10" t="s">
        <v>61</v>
      </c>
      <c r="F12" s="10" t="s">
        <v>62</v>
      </c>
    </row>
    <row r="13" spans="1:6" ht="16.5" customHeight="1">
      <c r="A13" s="10" t="s">
        <v>63</v>
      </c>
      <c r="B13" s="10" t="s">
        <v>64</v>
      </c>
      <c r="C13" s="10" t="s">
        <v>65</v>
      </c>
      <c r="D13" s="22">
        <v>100</v>
      </c>
      <c r="E13" s="10" t="s">
        <v>66</v>
      </c>
      <c r="F13" s="10"/>
    </row>
    <row r="14" spans="1:6" ht="16.5" customHeight="1">
      <c r="A14" s="10" t="s">
        <v>67</v>
      </c>
      <c r="B14" s="8" t="s">
        <v>18</v>
      </c>
      <c r="C14" s="10" t="s">
        <v>68</v>
      </c>
      <c r="D14" s="22">
        <v>60</v>
      </c>
      <c r="E14" s="8" t="s">
        <v>69</v>
      </c>
      <c r="F14" s="10"/>
    </row>
    <row r="15" spans="1:6" ht="16.5" customHeight="1">
      <c r="A15" s="10" t="s">
        <v>70</v>
      </c>
      <c r="B15" s="8" t="s">
        <v>71</v>
      </c>
      <c r="C15" s="10" t="s">
        <v>72</v>
      </c>
      <c r="D15" s="22">
        <v>80</v>
      </c>
      <c r="E15" s="10" t="s">
        <v>73</v>
      </c>
      <c r="F15" s="10"/>
    </row>
    <row r="16" spans="1:6" ht="16.5" customHeight="1">
      <c r="A16" s="10" t="s">
        <v>70</v>
      </c>
      <c r="B16" s="8" t="s">
        <v>4</v>
      </c>
      <c r="C16" s="10" t="s">
        <v>74</v>
      </c>
      <c r="D16" s="22">
        <v>750</v>
      </c>
      <c r="E16" s="8" t="s">
        <v>75</v>
      </c>
      <c r="F16" s="10" t="s">
        <v>76</v>
      </c>
    </row>
    <row r="17" spans="1:6" ht="16.5" customHeight="1">
      <c r="A17" s="10" t="s">
        <v>77</v>
      </c>
      <c r="B17" s="10" t="s">
        <v>78</v>
      </c>
      <c r="C17" s="10" t="s">
        <v>79</v>
      </c>
      <c r="D17" s="22">
        <v>40</v>
      </c>
      <c r="E17" s="10" t="s">
        <v>80</v>
      </c>
      <c r="F17" s="10"/>
    </row>
    <row r="18" spans="1:6" ht="16.5" customHeight="1">
      <c r="A18" s="10" t="s">
        <v>77</v>
      </c>
      <c r="B18" s="8" t="s">
        <v>18</v>
      </c>
      <c r="C18" s="8" t="s">
        <v>81</v>
      </c>
      <c r="D18" s="22">
        <v>80</v>
      </c>
      <c r="E18" s="8" t="s">
        <v>82</v>
      </c>
      <c r="F18" s="10"/>
    </row>
    <row r="19" spans="1:6" ht="16.5" customHeight="1">
      <c r="A19" s="10" t="s">
        <v>77</v>
      </c>
      <c r="B19" s="10" t="s">
        <v>6</v>
      </c>
      <c r="C19" s="10" t="s">
        <v>83</v>
      </c>
      <c r="D19" s="22">
        <v>50</v>
      </c>
      <c r="E19" s="10" t="s">
        <v>84</v>
      </c>
      <c r="F19" s="10"/>
    </row>
    <row r="20" spans="1:6" ht="16.5" customHeight="1">
      <c r="A20" s="4" t="s">
        <v>85</v>
      </c>
      <c r="B20" s="4"/>
      <c r="C20" s="4"/>
      <c r="D20" s="4"/>
      <c r="E20" s="4"/>
      <c r="F20" s="4"/>
    </row>
    <row r="21" spans="1:6" ht="32.25" customHeight="1">
      <c r="A21" s="10" t="s">
        <v>86</v>
      </c>
      <c r="B21" s="8" t="s">
        <v>4</v>
      </c>
      <c r="C21" s="10" t="s">
        <v>87</v>
      </c>
      <c r="D21" s="22">
        <v>400</v>
      </c>
      <c r="E21" s="10" t="s">
        <v>88</v>
      </c>
      <c r="F21" s="10" t="s">
        <v>89</v>
      </c>
    </row>
    <row r="22" spans="1:6" ht="32.25" customHeight="1">
      <c r="A22" s="10" t="s">
        <v>90</v>
      </c>
      <c r="B22" s="8" t="s">
        <v>4</v>
      </c>
      <c r="C22" s="8" t="s">
        <v>91</v>
      </c>
      <c r="D22" s="22">
        <v>300</v>
      </c>
      <c r="E22" s="8" t="s">
        <v>92</v>
      </c>
      <c r="F22" s="10" t="s">
        <v>93</v>
      </c>
    </row>
    <row r="23" spans="1:6" ht="16.5" customHeight="1">
      <c r="A23" s="10" t="s">
        <v>90</v>
      </c>
      <c r="B23" s="8" t="s">
        <v>50</v>
      </c>
      <c r="C23" s="8" t="s">
        <v>51</v>
      </c>
      <c r="D23" s="22">
        <v>32</v>
      </c>
      <c r="E23" s="8" t="s">
        <v>94</v>
      </c>
      <c r="F23" s="10"/>
    </row>
    <row r="24" spans="1:6" ht="16.5" customHeight="1">
      <c r="A24" s="10" t="s">
        <v>95</v>
      </c>
      <c r="B24" s="10" t="s">
        <v>64</v>
      </c>
      <c r="C24" s="10" t="s">
        <v>65</v>
      </c>
      <c r="D24" s="22">
        <v>30</v>
      </c>
      <c r="E24" s="8" t="s">
        <v>96</v>
      </c>
      <c r="F24" s="10"/>
    </row>
    <row r="25" spans="1:6" ht="16.5" customHeight="1">
      <c r="A25" s="10" t="s">
        <v>95</v>
      </c>
      <c r="B25" s="10" t="s">
        <v>6</v>
      </c>
      <c r="C25" s="10" t="s">
        <v>83</v>
      </c>
      <c r="D25" s="22">
        <v>80</v>
      </c>
      <c r="E25" s="10" t="s">
        <v>97</v>
      </c>
      <c r="F25" s="10"/>
    </row>
    <row r="26" spans="1:6" ht="32.25" customHeight="1">
      <c r="A26" s="10" t="s">
        <v>98</v>
      </c>
      <c r="B26" s="8" t="s">
        <v>4</v>
      </c>
      <c r="C26" s="8" t="s">
        <v>99</v>
      </c>
      <c r="D26" s="22">
        <v>900</v>
      </c>
      <c r="E26" s="10" t="s">
        <v>100</v>
      </c>
      <c r="F26" s="10" t="s">
        <v>45</v>
      </c>
    </row>
    <row r="27" spans="1:6" ht="15" customHeight="1">
      <c r="A27" t="s">
        <v>101</v>
      </c>
      <c r="B27" s="15" t="s">
        <v>4</v>
      </c>
      <c r="C27" s="15" t="s">
        <v>102</v>
      </c>
      <c r="D27" s="23">
        <v>300</v>
      </c>
      <c r="E27" s="15" t="s">
        <v>103</v>
      </c>
      <c r="F27" t="s">
        <v>93</v>
      </c>
    </row>
    <row r="28" spans="1:6" ht="16.5" customHeight="1">
      <c r="A28" t="s">
        <v>104</v>
      </c>
      <c r="B28" s="15" t="s">
        <v>4</v>
      </c>
      <c r="C28" s="15" t="s">
        <v>105</v>
      </c>
      <c r="D28" s="23">
        <v>850</v>
      </c>
      <c r="E28" s="15" t="s">
        <v>106</v>
      </c>
      <c r="F28" t="s">
        <v>107</v>
      </c>
    </row>
    <row r="29" spans="1:6" ht="16.5" customHeight="1">
      <c r="A29" t="s">
        <v>108</v>
      </c>
      <c r="B29" s="15" t="s">
        <v>4</v>
      </c>
      <c r="C29" s="15" t="s">
        <v>109</v>
      </c>
      <c r="D29" s="23">
        <v>750</v>
      </c>
      <c r="E29" s="15" t="s">
        <v>110</v>
      </c>
      <c r="F29" t="s">
        <v>111</v>
      </c>
    </row>
    <row r="30" spans="1:6" ht="16.5" customHeight="1">
      <c r="A30" s="21" t="s">
        <v>112</v>
      </c>
    </row>
    <row r="31" spans="1:6" ht="16.5" customHeight="1">
      <c r="A31" t="s">
        <v>113</v>
      </c>
      <c r="B31" s="15" t="s">
        <v>50</v>
      </c>
      <c r="C31" s="15" t="s">
        <v>51</v>
      </c>
      <c r="D31" s="23">
        <v>32</v>
      </c>
      <c r="E31" s="15" t="s">
        <v>114</v>
      </c>
    </row>
    <row r="32" spans="1:6" ht="16.5" customHeight="1">
      <c r="A32" t="s">
        <v>115</v>
      </c>
      <c r="B32" s="15" t="s">
        <v>4</v>
      </c>
      <c r="C32" s="15" t="s">
        <v>116</v>
      </c>
      <c r="D32" s="23">
        <v>650</v>
      </c>
      <c r="E32" t="s">
        <v>117</v>
      </c>
      <c r="F32" t="s">
        <v>118</v>
      </c>
    </row>
    <row r="33" spans="1:6" ht="16.5" customHeight="1">
      <c r="A33" t="s">
        <v>119</v>
      </c>
      <c r="B33" s="15" t="s">
        <v>4</v>
      </c>
      <c r="C33" s="15" t="s">
        <v>120</v>
      </c>
      <c r="D33" s="23">
        <v>850</v>
      </c>
      <c r="E33" s="15" t="s">
        <v>121</v>
      </c>
      <c r="F33" t="s">
        <v>107</v>
      </c>
    </row>
    <row r="34" spans="1:6" ht="16.5" customHeight="1">
      <c r="A34" t="s">
        <v>119</v>
      </c>
      <c r="B34" t="s">
        <v>6</v>
      </c>
      <c r="C34" t="s">
        <v>83</v>
      </c>
      <c r="D34" s="23">
        <v>80</v>
      </c>
      <c r="E34" t="s">
        <v>122</v>
      </c>
    </row>
    <row r="35" spans="1:6" ht="15" customHeight="1">
      <c r="A35" s="21" t="s">
        <v>123</v>
      </c>
    </row>
    <row r="36" spans="1:6" ht="16.5" customHeight="1">
      <c r="A36" t="s">
        <v>124</v>
      </c>
      <c r="B36" s="15" t="s">
        <v>4</v>
      </c>
      <c r="C36" t="s">
        <v>125</v>
      </c>
      <c r="D36" s="23">
        <v>340</v>
      </c>
      <c r="E36" t="s">
        <v>126</v>
      </c>
      <c r="F36" t="s">
        <v>118</v>
      </c>
    </row>
    <row r="37" spans="1:6" ht="16.5" customHeight="1">
      <c r="A37" t="s">
        <v>127</v>
      </c>
      <c r="B37" s="15" t="s">
        <v>4</v>
      </c>
      <c r="C37" s="15" t="s">
        <v>128</v>
      </c>
      <c r="D37" s="23">
        <v>670</v>
      </c>
      <c r="E37" s="15" t="s">
        <v>129</v>
      </c>
      <c r="F37" t="s">
        <v>130</v>
      </c>
    </row>
    <row r="38" spans="1:6" ht="16.5" customHeight="1">
      <c r="A38" t="s">
        <v>131</v>
      </c>
      <c r="B38" s="15" t="s">
        <v>4</v>
      </c>
      <c r="C38" s="15" t="s">
        <v>132</v>
      </c>
      <c r="D38" s="23">
        <v>440</v>
      </c>
      <c r="E38" s="15" t="s">
        <v>133</v>
      </c>
      <c r="F38" t="s">
        <v>111</v>
      </c>
    </row>
    <row r="39" spans="1:6" ht="16.5" customHeight="1">
      <c r="A39" t="s">
        <v>134</v>
      </c>
      <c r="B39" s="15" t="s">
        <v>4</v>
      </c>
      <c r="C39" s="15" t="s">
        <v>135</v>
      </c>
      <c r="D39" s="23">
        <v>100</v>
      </c>
      <c r="E39" s="15" t="s">
        <v>136</v>
      </c>
      <c r="F39" t="s">
        <v>137</v>
      </c>
    </row>
    <row r="40" spans="1:6" ht="16.5" customHeight="1">
      <c r="A40" t="s">
        <v>138</v>
      </c>
      <c r="B40" s="15" t="s">
        <v>18</v>
      </c>
      <c r="C40" t="s">
        <v>139</v>
      </c>
      <c r="D40" s="23">
        <v>25</v>
      </c>
      <c r="E40" s="15" t="s">
        <v>140</v>
      </c>
    </row>
    <row r="41" spans="1:6" ht="16.5" customHeight="1">
      <c r="A41" t="s">
        <v>141</v>
      </c>
      <c r="B41" s="15" t="s">
        <v>4</v>
      </c>
      <c r="C41" t="s">
        <v>142</v>
      </c>
      <c r="D41" s="23">
        <v>150</v>
      </c>
      <c r="E41" s="15" t="s">
        <v>143</v>
      </c>
      <c r="F41" t="s">
        <v>144</v>
      </c>
    </row>
    <row r="42" spans="1:6" ht="16.5" customHeight="1">
      <c r="A42" s="11" t="s">
        <v>145</v>
      </c>
      <c r="B42" s="13"/>
      <c r="C42" s="13"/>
      <c r="D42" s="12">
        <f>SUM(D5:D41)</f>
        <v>12571</v>
      </c>
      <c r="E42" s="13"/>
      <c r="F42" s="13"/>
    </row>
    <row r="43" spans="1:6" ht="15" customHeight="1"/>
  </sheetData>
  <mergeCells count="4">
    <mergeCell ref="A1:F1"/>
    <mergeCell ref="A2:F2"/>
    <mergeCell ref="A5:F5"/>
    <mergeCell ref="A20:F20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zoomScaleNormal="100" workbookViewId="0"/>
  </sheetViews>
  <sheetFormatPr baseColWidth="10" defaultColWidth="8.6640625" defaultRowHeight="15"/>
  <cols>
    <col min="1" max="1" width="26" customWidth="1"/>
    <col min="2" max="2" width="18" customWidth="1"/>
    <col min="3" max="3" width="22" customWidth="1"/>
    <col min="4" max="4" width="24" customWidth="1"/>
    <col min="5" max="5" width="50" customWidth="1"/>
  </cols>
  <sheetData>
    <row r="1" spans="1:5" ht="21.75" customHeight="1">
      <c r="A1" s="6" t="s">
        <v>146</v>
      </c>
      <c r="B1" s="6"/>
      <c r="C1" s="6"/>
      <c r="D1" s="6"/>
      <c r="E1" s="6"/>
    </row>
    <row r="3" spans="1:5" ht="15.75" customHeight="1">
      <c r="A3" s="5" t="s">
        <v>147</v>
      </c>
      <c r="B3" s="5"/>
      <c r="C3" s="5"/>
      <c r="D3" s="5"/>
      <c r="E3" s="5"/>
    </row>
    <row r="5" spans="1:5" ht="18" customHeight="1">
      <c r="A5" s="7" t="s">
        <v>1</v>
      </c>
      <c r="B5" s="24" t="s">
        <v>148</v>
      </c>
      <c r="C5" s="24" t="s">
        <v>149</v>
      </c>
      <c r="D5" s="24" t="s">
        <v>150</v>
      </c>
      <c r="E5" s="7" t="s">
        <v>3</v>
      </c>
    </row>
    <row r="6" spans="1:5" ht="37.5" customHeight="1">
      <c r="A6" s="10" t="s">
        <v>151</v>
      </c>
      <c r="B6" s="22">
        <v>35</v>
      </c>
      <c r="C6" s="22">
        <v>550</v>
      </c>
      <c r="D6" s="22">
        <v>3500</v>
      </c>
      <c r="E6" s="8" t="s">
        <v>152</v>
      </c>
    </row>
    <row r="7" spans="1:5" ht="18.75" customHeight="1">
      <c r="A7" s="8" t="s">
        <v>50</v>
      </c>
      <c r="B7" s="22">
        <v>32</v>
      </c>
      <c r="C7" s="22">
        <v>100</v>
      </c>
      <c r="D7" s="22">
        <v>250</v>
      </c>
      <c r="E7" s="8" t="s">
        <v>153</v>
      </c>
    </row>
    <row r="8" spans="1:5" ht="18.75" customHeight="1">
      <c r="A8" s="8" t="s">
        <v>154</v>
      </c>
      <c r="B8" s="22">
        <v>0</v>
      </c>
      <c r="C8" s="22">
        <v>50</v>
      </c>
      <c r="D8" s="22">
        <v>150</v>
      </c>
      <c r="E8" s="10" t="s">
        <v>155</v>
      </c>
    </row>
    <row r="9" spans="1:5" ht="18.75" customHeight="1">
      <c r="A9" s="10" t="s">
        <v>156</v>
      </c>
      <c r="B9" s="22">
        <v>0</v>
      </c>
      <c r="C9" s="22">
        <v>20</v>
      </c>
      <c r="D9" s="22">
        <v>100</v>
      </c>
      <c r="E9" s="8" t="s">
        <v>157</v>
      </c>
    </row>
    <row r="10" spans="1:5" ht="18.75" customHeight="1">
      <c r="A10" s="8" t="s">
        <v>158</v>
      </c>
      <c r="B10" s="22">
        <v>0</v>
      </c>
      <c r="C10" s="22">
        <v>100</v>
      </c>
      <c r="D10" s="22">
        <v>600</v>
      </c>
      <c r="E10" s="8" t="s">
        <v>159</v>
      </c>
    </row>
    <row r="11" spans="1:5" ht="18.75" customHeight="1">
      <c r="A11" s="8" t="s">
        <v>160</v>
      </c>
      <c r="B11" s="22">
        <v>0</v>
      </c>
      <c r="C11" s="22">
        <v>30</v>
      </c>
      <c r="D11" s="22">
        <v>100</v>
      </c>
      <c r="E11" s="10" t="s">
        <v>161</v>
      </c>
    </row>
    <row r="12" spans="1:5" ht="18.75" customHeight="1">
      <c r="A12" s="8" t="s">
        <v>162</v>
      </c>
      <c r="B12" s="22">
        <v>5</v>
      </c>
      <c r="C12" s="22">
        <v>20</v>
      </c>
      <c r="D12" s="22">
        <v>50</v>
      </c>
      <c r="E12" s="8" t="s">
        <v>163</v>
      </c>
    </row>
    <row r="13" spans="1:5" ht="18" customHeight="1">
      <c r="A13" s="11" t="s">
        <v>164</v>
      </c>
      <c r="B13" s="12">
        <f>SUM(B6:B12)</f>
        <v>72</v>
      </c>
      <c r="C13" s="12">
        <f>SUM(C6:C12)</f>
        <v>870</v>
      </c>
      <c r="D13" s="12">
        <f>SUM(D6:D12)</f>
        <v>4750</v>
      </c>
      <c r="E13" s="13"/>
    </row>
    <row r="14" spans="1:5" ht="18" customHeight="1">
      <c r="A14" s="25" t="s">
        <v>165</v>
      </c>
      <c r="B14" s="26">
        <f>B13*12</f>
        <v>864</v>
      </c>
      <c r="C14" s="26">
        <f>C13*12</f>
        <v>10440</v>
      </c>
      <c r="D14" s="26">
        <f>D13*12</f>
        <v>57000</v>
      </c>
    </row>
  </sheetData>
  <mergeCells count="2">
    <mergeCell ref="A1:E1"/>
    <mergeCell ref="A3:E3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5"/>
  <sheetViews>
    <sheetView showGridLines="0" topLeftCell="A18" zoomScaleNormal="100" workbookViewId="0"/>
  </sheetViews>
  <sheetFormatPr baseColWidth="10" defaultColWidth="8.6640625" defaultRowHeight="15"/>
  <cols>
    <col min="1" max="1" width="30" customWidth="1"/>
    <col min="2" max="4" width="18" customWidth="1"/>
  </cols>
  <sheetData>
    <row r="1" spans="1:4" ht="21.75" customHeight="1">
      <c r="A1" s="3" t="s">
        <v>166</v>
      </c>
      <c r="B1" s="3"/>
      <c r="C1" s="3"/>
      <c r="D1" s="3"/>
    </row>
    <row r="3" spans="1:4" ht="18" customHeight="1">
      <c r="A3" s="2" t="s">
        <v>167</v>
      </c>
      <c r="B3" s="2"/>
    </row>
    <row r="4" spans="1:4" ht="18.75" customHeight="1">
      <c r="A4" s="8" t="s">
        <v>168</v>
      </c>
      <c r="B4" s="27">
        <v>3</v>
      </c>
    </row>
    <row r="5" spans="1:4" ht="18.75" customHeight="1">
      <c r="A5" s="8" t="s">
        <v>169</v>
      </c>
      <c r="B5" s="27">
        <v>15</v>
      </c>
    </row>
    <row r="6" spans="1:4" ht="18.75" customHeight="1">
      <c r="A6" s="8" t="s">
        <v>170</v>
      </c>
      <c r="B6" s="27">
        <v>0.3</v>
      </c>
    </row>
    <row r="8" spans="1:4" ht="18" customHeight="1">
      <c r="A8" s="2" t="s">
        <v>171</v>
      </c>
      <c r="B8" s="2"/>
      <c r="C8" s="2"/>
      <c r="D8" s="2"/>
    </row>
    <row r="9" spans="1:4" ht="18.75" customHeight="1">
      <c r="A9" s="8" t="s">
        <v>172</v>
      </c>
      <c r="B9" s="28">
        <v>10000</v>
      </c>
    </row>
    <row r="10" spans="1:4" ht="18.75" customHeight="1">
      <c r="A10" s="8" t="s">
        <v>173</v>
      </c>
      <c r="B10" s="28">
        <v>9000</v>
      </c>
    </row>
    <row r="11" spans="1:4" ht="18.75" customHeight="1">
      <c r="A11" s="8" t="s">
        <v>174</v>
      </c>
      <c r="B11" s="28">
        <v>1000</v>
      </c>
    </row>
    <row r="12" spans="1:4" ht="18.75" customHeight="1">
      <c r="A12" s="8" t="s">
        <v>175</v>
      </c>
      <c r="B12" s="28">
        <v>2500</v>
      </c>
    </row>
    <row r="14" spans="1:4" ht="18" customHeight="1">
      <c r="A14" s="2" t="s">
        <v>176</v>
      </c>
      <c r="B14" s="2"/>
      <c r="C14" s="2"/>
      <c r="D14" s="2"/>
    </row>
    <row r="15" spans="1:4" ht="18" customHeight="1">
      <c r="A15" s="29" t="s">
        <v>177</v>
      </c>
    </row>
    <row r="16" spans="1:4" ht="18" customHeight="1">
      <c r="A16" s="15" t="s">
        <v>178</v>
      </c>
      <c r="B16" s="30">
        <f>B9*B4/1000000</f>
        <v>0.03</v>
      </c>
    </row>
    <row r="17" spans="1:4" ht="18" customHeight="1">
      <c r="A17" s="15" t="s">
        <v>179</v>
      </c>
      <c r="B17" s="30">
        <f>B12*B5/1000000</f>
        <v>3.7499999999999999E-2</v>
      </c>
    </row>
    <row r="18" spans="1:4" ht="18" customHeight="1">
      <c r="A18" s="31" t="s">
        <v>180</v>
      </c>
      <c r="B18" s="32">
        <f>B16+B17</f>
        <v>6.7500000000000004E-2</v>
      </c>
    </row>
    <row r="20" spans="1:4" ht="18" customHeight="1">
      <c r="A20" s="29" t="s">
        <v>181</v>
      </c>
    </row>
    <row r="21" spans="1:4" ht="18" customHeight="1">
      <c r="A21" s="15" t="s">
        <v>182</v>
      </c>
      <c r="B21" s="30">
        <f>B10*B6/1000000</f>
        <v>2.7000000000000001E-3</v>
      </c>
    </row>
    <row r="22" spans="1:4" ht="18" customHeight="1">
      <c r="A22" s="15" t="s">
        <v>183</v>
      </c>
      <c r="B22" s="30">
        <f>B11*B4/1000000</f>
        <v>3.0000000000000001E-3</v>
      </c>
    </row>
    <row r="23" spans="1:4" ht="18" customHeight="1">
      <c r="A23" s="15" t="s">
        <v>179</v>
      </c>
      <c r="B23" s="30">
        <f>B12*B5/1000000</f>
        <v>3.7499999999999999E-2</v>
      </c>
    </row>
    <row r="24" spans="1:4" ht="18" customHeight="1">
      <c r="A24" s="31" t="s">
        <v>184</v>
      </c>
      <c r="B24" s="32">
        <f>B21+B22+B23</f>
        <v>4.3200000000000002E-2</v>
      </c>
    </row>
    <row r="25" spans="1:4" ht="18" customHeight="1">
      <c r="A25" s="15" t="s">
        <v>185</v>
      </c>
      <c r="B25" s="33">
        <f>1-B24/B18</f>
        <v>0.36</v>
      </c>
    </row>
    <row r="27" spans="1:4" ht="18" customHeight="1">
      <c r="A27" s="2" t="s">
        <v>186</v>
      </c>
      <c r="B27" s="2"/>
      <c r="C27" s="2"/>
      <c r="D27" s="2"/>
    </row>
    <row r="28" spans="1:4" ht="18" customHeight="1">
      <c r="A28" s="7" t="s">
        <v>187</v>
      </c>
      <c r="B28" s="7" t="s">
        <v>188</v>
      </c>
      <c r="C28" s="7" t="s">
        <v>189</v>
      </c>
      <c r="D28" s="7" t="s">
        <v>190</v>
      </c>
    </row>
    <row r="29" spans="1:4" ht="15" customHeight="1">
      <c r="A29" s="28">
        <v>50</v>
      </c>
      <c r="B29" s="34">
        <f t="shared" ref="B29:B35" si="0">A29*30</f>
        <v>1500</v>
      </c>
      <c r="C29" s="35">
        <f t="shared" ref="C29:C35" si="1">B29*$B$24</f>
        <v>64.8</v>
      </c>
      <c r="D29" s="35">
        <f t="shared" ref="D29:D35" si="2">C29*12</f>
        <v>777.59999999999991</v>
      </c>
    </row>
    <row r="30" spans="1:4" ht="15" customHeight="1">
      <c r="A30" s="28">
        <v>200</v>
      </c>
      <c r="B30" s="34">
        <f t="shared" si="0"/>
        <v>6000</v>
      </c>
      <c r="C30" s="35">
        <f t="shared" si="1"/>
        <v>259.2</v>
      </c>
      <c r="D30" s="35">
        <f t="shared" si="2"/>
        <v>3110.3999999999996</v>
      </c>
    </row>
    <row r="31" spans="1:4" ht="15" customHeight="1">
      <c r="A31" s="28">
        <v>500</v>
      </c>
      <c r="B31" s="34">
        <f t="shared" si="0"/>
        <v>15000</v>
      </c>
      <c r="C31" s="35">
        <f t="shared" si="1"/>
        <v>648</v>
      </c>
      <c r="D31" s="35">
        <f t="shared" si="2"/>
        <v>7776</v>
      </c>
    </row>
    <row r="32" spans="1:4" ht="15" customHeight="1">
      <c r="A32" s="28">
        <v>1000</v>
      </c>
      <c r="B32" s="34">
        <f t="shared" si="0"/>
        <v>30000</v>
      </c>
      <c r="C32" s="35">
        <f t="shared" si="1"/>
        <v>1296</v>
      </c>
      <c r="D32" s="35">
        <f t="shared" si="2"/>
        <v>15552</v>
      </c>
    </row>
    <row r="33" spans="1:4" ht="15" customHeight="1">
      <c r="A33" s="28">
        <v>2000</v>
      </c>
      <c r="B33" s="34">
        <f t="shared" si="0"/>
        <v>60000</v>
      </c>
      <c r="C33" s="35">
        <f t="shared" si="1"/>
        <v>2592</v>
      </c>
      <c r="D33" s="35">
        <f t="shared" si="2"/>
        <v>31104</v>
      </c>
    </row>
    <row r="34" spans="1:4" ht="15" customHeight="1">
      <c r="A34" s="28">
        <v>5000</v>
      </c>
      <c r="B34" s="34">
        <f t="shared" si="0"/>
        <v>150000</v>
      </c>
      <c r="C34" s="35">
        <f t="shared" si="1"/>
        <v>6480</v>
      </c>
      <c r="D34" s="35">
        <f t="shared" si="2"/>
        <v>77760</v>
      </c>
    </row>
    <row r="35" spans="1:4" ht="15" customHeight="1">
      <c r="A35" s="28">
        <v>8000</v>
      </c>
      <c r="B35" s="34">
        <f t="shared" si="0"/>
        <v>240000</v>
      </c>
      <c r="C35" s="35">
        <f t="shared" si="1"/>
        <v>10368</v>
      </c>
      <c r="D35" s="35">
        <f t="shared" si="2"/>
        <v>124416</v>
      </c>
    </row>
  </sheetData>
  <mergeCells count="5">
    <mergeCell ref="A1:D1"/>
    <mergeCell ref="A3:B3"/>
    <mergeCell ref="A8:D8"/>
    <mergeCell ref="A14:D14"/>
    <mergeCell ref="A27:D27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"/>
  <sheetViews>
    <sheetView showGridLines="0" zoomScaleNormal="100" workbookViewId="0"/>
  </sheetViews>
  <sheetFormatPr baseColWidth="10" defaultColWidth="8.6640625" defaultRowHeight="15"/>
  <cols>
    <col min="1" max="1" width="14" customWidth="1"/>
    <col min="2" max="6" width="18" customWidth="1"/>
  </cols>
  <sheetData>
    <row r="1" spans="1:6" ht="21.75" customHeight="1">
      <c r="A1" s="6" t="s">
        <v>191</v>
      </c>
      <c r="B1" s="6"/>
      <c r="C1" s="6"/>
      <c r="D1" s="6"/>
      <c r="E1" s="6"/>
      <c r="F1" s="6"/>
    </row>
    <row r="3" spans="1:6" ht="15.75" customHeight="1">
      <c r="A3" s="5" t="s">
        <v>192</v>
      </c>
      <c r="B3" s="5"/>
      <c r="C3" s="5"/>
      <c r="D3" s="5"/>
      <c r="E3" s="5"/>
      <c r="F3" s="5"/>
    </row>
    <row r="5" spans="1:6" ht="18" customHeight="1">
      <c r="A5" s="15" t="s">
        <v>193</v>
      </c>
      <c r="B5" s="36">
        <v>0.14000000000000001</v>
      </c>
    </row>
    <row r="6" spans="1:6" ht="18" customHeight="1">
      <c r="A6" s="15" t="s">
        <v>194</v>
      </c>
      <c r="B6" s="37">
        <v>0.08</v>
      </c>
    </row>
    <row r="8" spans="1:6" ht="18" customHeight="1">
      <c r="A8" s="7" t="s">
        <v>195</v>
      </c>
      <c r="B8" s="7" t="s">
        <v>196</v>
      </c>
      <c r="C8" s="7" t="s">
        <v>197</v>
      </c>
      <c r="D8" s="7" t="s">
        <v>198</v>
      </c>
      <c r="E8" s="7" t="s">
        <v>199</v>
      </c>
      <c r="F8" s="7" t="s">
        <v>200</v>
      </c>
    </row>
    <row r="9" spans="1:6" ht="18.75" customHeight="1">
      <c r="A9" s="8" t="s">
        <v>201</v>
      </c>
      <c r="B9" s="28">
        <v>100</v>
      </c>
      <c r="C9" s="28">
        <v>3500</v>
      </c>
      <c r="D9" s="38">
        <f>B9*C9</f>
        <v>350000</v>
      </c>
      <c r="E9" s="38">
        <f>D9*$B$6</f>
        <v>28000</v>
      </c>
      <c r="F9" s="35">
        <f>E9*$B$5</f>
        <v>3920.0000000000005</v>
      </c>
    </row>
    <row r="10" spans="1:6" ht="18.75" customHeight="1">
      <c r="A10" s="8" t="s">
        <v>202</v>
      </c>
      <c r="B10" s="28">
        <v>1000</v>
      </c>
      <c r="C10" s="28">
        <v>3800</v>
      </c>
      <c r="D10" s="38">
        <f>B10*C10</f>
        <v>3800000</v>
      </c>
      <c r="E10" s="38">
        <f>D10*$B$6</f>
        <v>304000</v>
      </c>
      <c r="F10" s="35">
        <f>E10*$B$5</f>
        <v>42560.000000000007</v>
      </c>
    </row>
    <row r="11" spans="1:6" ht="18.75" customHeight="1">
      <c r="A11" s="8" t="s">
        <v>203</v>
      </c>
      <c r="B11" s="28">
        <v>5000</v>
      </c>
      <c r="C11" s="28">
        <v>4000</v>
      </c>
      <c r="D11" s="38">
        <f>B11*C11</f>
        <v>20000000</v>
      </c>
      <c r="E11" s="38">
        <f>D11*$B$6</f>
        <v>1600000</v>
      </c>
      <c r="F11" s="35">
        <f>E11*$B$5</f>
        <v>224000.00000000003</v>
      </c>
    </row>
    <row r="14" spans="1:6" ht="18" customHeight="1">
      <c r="A14" s="2" t="s">
        <v>204</v>
      </c>
      <c r="B14" s="2"/>
      <c r="C14" s="2"/>
      <c r="D14" s="2"/>
      <c r="E14" s="2"/>
      <c r="F14" s="2"/>
    </row>
    <row r="15" spans="1:6" ht="18" customHeight="1">
      <c r="A15" s="7" t="s">
        <v>195</v>
      </c>
      <c r="B15" s="7" t="s">
        <v>200</v>
      </c>
      <c r="C15" s="7" t="s">
        <v>205</v>
      </c>
      <c r="D15" s="7" t="s">
        <v>206</v>
      </c>
      <c r="E15" s="7" t="s">
        <v>207</v>
      </c>
      <c r="F15" s="7"/>
    </row>
    <row r="16" spans="1:6" ht="18.75" customHeight="1">
      <c r="A16" s="8" t="s">
        <v>201</v>
      </c>
      <c r="B16" s="39">
        <f>F9</f>
        <v>3920.0000000000005</v>
      </c>
      <c r="C16" s="39">
        <f>月成本预估!C13</f>
        <v>870</v>
      </c>
      <c r="D16" s="40">
        <f>B16/C16</f>
        <v>4.5057471264367823</v>
      </c>
      <c r="E16" s="41">
        <f>E9/D9</f>
        <v>0.08</v>
      </c>
    </row>
    <row r="17" spans="1:6" ht="18.75" customHeight="1">
      <c r="A17" s="8" t="s">
        <v>202</v>
      </c>
      <c r="B17" s="39">
        <f>F10</f>
        <v>42560.000000000007</v>
      </c>
      <c r="C17" s="39">
        <f>月成本预估!D13</f>
        <v>4750</v>
      </c>
      <c r="D17" s="40">
        <f>B17/C17</f>
        <v>8.9600000000000009</v>
      </c>
      <c r="E17" s="41">
        <f>E10/D10</f>
        <v>0.08</v>
      </c>
    </row>
    <row r="18" spans="1:6" ht="18.75" customHeight="1">
      <c r="A18" s="8" t="s">
        <v>203</v>
      </c>
      <c r="B18" s="39">
        <f>F11</f>
        <v>224000.00000000003</v>
      </c>
      <c r="C18" s="39">
        <f>月成本预估!D13*1.5</f>
        <v>7125</v>
      </c>
      <c r="D18" s="40">
        <f>B18/C18</f>
        <v>31.438596491228076</v>
      </c>
      <c r="E18" s="41">
        <f>E11/D11</f>
        <v>0.08</v>
      </c>
    </row>
    <row r="20" spans="1:6" ht="18" customHeight="1">
      <c r="A20" s="1" t="s">
        <v>208</v>
      </c>
      <c r="B20" s="1"/>
      <c r="C20" s="1"/>
      <c r="D20" s="1"/>
      <c r="E20" s="1"/>
      <c r="F20" s="1"/>
    </row>
  </sheetData>
  <mergeCells count="4">
    <mergeCell ref="A1:F1"/>
    <mergeCell ref="A3:F3"/>
    <mergeCell ref="A14:F14"/>
    <mergeCell ref="A20:F20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已花成本</vt:lpstr>
      <vt:lpstr>支出明细</vt:lpstr>
      <vt:lpstr>月成本预估</vt:lpstr>
      <vt:lpstr>AI Token 成本</vt:lpstr>
      <vt:lpstr>单位经济学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Wang, Bob</cp:lastModifiedBy>
  <cp:revision>0</cp:revision>
  <dcterms:created xsi:type="dcterms:W3CDTF">2026-04-30T04:50:55Z</dcterms:created>
  <dcterms:modified xsi:type="dcterms:W3CDTF">2026-06-26T07:17:41Z</dcterms:modified>
  <dc:language>en-US</dc:language>
</cp:coreProperties>
</file>