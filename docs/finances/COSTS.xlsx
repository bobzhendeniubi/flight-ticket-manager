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已花成本" sheetId="1" state="visible" r:id="rId3"/>
    <sheet name="支出明细" sheetId="2" state="visible" r:id="rId4"/>
    <sheet name="月成本预估" sheetId="3" state="visible" r:id="rId5"/>
    <sheet name="AI Token 成本" sheetId="4" state="visible" r:id="rId6"/>
    <sheet name="单位经济学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<sst xmlns="http://schemas.openxmlformats.org/spreadsheetml/2006/main" count="193" uniqueCount="156">
  <si>
    <r>
      <rPr>
        <b val="true"/>
        <sz val="14"/>
        <rFont val="PingFang SC"/>
        <family val="2"/>
      </rPr>
      <t xml:space="preserve">开发期已花成本（项目 </t>
    </r>
    <r>
      <rPr>
        <b val="true"/>
        <sz val="14"/>
        <rFont val="Arial"/>
        <family val="0"/>
        <charset val="1"/>
      </rPr>
      <t xml:space="preserve">2026-04 </t>
    </r>
    <r>
      <rPr>
        <b val="true"/>
        <sz val="14"/>
        <rFont val="PingFang SC"/>
        <family val="2"/>
      </rPr>
      <t xml:space="preserve">启动）</t>
    </r>
  </si>
  <si>
    <t xml:space="preserve">类别</t>
  </si>
  <si>
    <r>
      <rPr>
        <b val="true"/>
        <sz val="11"/>
        <color rgb="FFFFFFFF"/>
        <rFont val="PingFang SC"/>
        <family val="2"/>
      </rPr>
      <t xml:space="preserve">金额（</t>
    </r>
    <r>
      <rPr>
        <b val="true"/>
        <sz val="11"/>
        <color rgb="FFFFFFFF"/>
        <rFont val="Arial"/>
        <family val="0"/>
        <charset val="1"/>
      </rPr>
      <t xml:space="preserve">USD</t>
    </r>
    <r>
      <rPr>
        <b val="true"/>
        <sz val="11"/>
        <color rgb="FFFFFFFF"/>
        <rFont val="PingFang SC"/>
        <family val="2"/>
      </rPr>
      <t xml:space="preserve">）</t>
    </r>
  </si>
  <si>
    <t xml:space="preserve">说明</t>
  </si>
  <si>
    <t xml:space="preserve">开发外包</t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</si>
  <si>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PingFang SC"/>
        <family val="2"/>
      </rPr>
      <t xml:space="preserve">周外包开发（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PingFang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PingFang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+ 5 </t>
    </r>
    <r>
      <rPr>
        <sz val="11"/>
        <color theme="1"/>
        <rFont val="PingFang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PingFang SC"/>
        <family val="2"/>
      </rPr>
      <t xml:space="preserve">期）：</t>
    </r>
    <r>
      <rPr>
        <sz val="11"/>
        <color theme="1"/>
        <rFont val="Calibri"/>
        <family val="2"/>
        <charset val="1"/>
      </rPr>
      <t xml:space="preserve">MVP </t>
    </r>
    <r>
      <rPr>
        <sz val="11"/>
        <color theme="1"/>
        <rFont val="PingFang SC"/>
        <family val="2"/>
      </rPr>
      <t xml:space="preserve">脚手架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PingFang SC"/>
        <family val="2"/>
      </rPr>
      <t xml:space="preserve">订单核心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PingFang SC"/>
        <family val="2"/>
      </rPr>
      <t xml:space="preserve">代理产品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PingFang SC"/>
        <family val="2"/>
      </rPr>
      <t xml:space="preserve">动态定价 </t>
    </r>
    <r>
      <rPr>
        <sz val="11"/>
        <color theme="1"/>
        <rFont val="Calibri"/>
        <family val="2"/>
        <charset val="1"/>
      </rPr>
      <t xml:space="preserve">/ AI </t>
    </r>
    <r>
      <rPr>
        <sz val="11"/>
        <color theme="1"/>
        <rFont val="PingFang SC"/>
        <family val="2"/>
      </rPr>
      <t xml:space="preserve">助手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PingFang SC"/>
        <family val="2"/>
      </rPr>
      <t xml:space="preserve">演示包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PingFang SC"/>
        <family val="2"/>
      </rPr>
      <t xml:space="preserve">反馈迭代</t>
    </r>
  </si>
  <si>
    <t xml:space="preserve">Claude Code</t>
  </si>
  <si>
    <r>
      <rPr>
        <sz val="11"/>
        <color theme="1"/>
        <rFont val="PingFang SC"/>
        <family val="2"/>
      </rPr>
      <t xml:space="preserve">开发主力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PingFang SC"/>
        <family val="2"/>
      </rPr>
      <t xml:space="preserve">工具：</t>
    </r>
    <r>
      <rPr>
        <sz val="11"/>
        <color theme="1"/>
        <rFont val="Calibri"/>
        <family val="2"/>
        <charset val="1"/>
      </rPr>
      <t xml:space="preserve">Anthropic API token </t>
    </r>
    <r>
      <rPr>
        <sz val="11"/>
        <color theme="1"/>
        <rFont val="PingFang SC"/>
        <family val="2"/>
      </rPr>
      <t xml:space="preserve">用量（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PingFang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$50 + 5 </t>
    </r>
    <r>
      <rPr>
        <sz val="11"/>
        <color theme="1"/>
        <rFont val="PingFang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$80</t>
    </r>
    <r>
      <rPr>
        <sz val="11"/>
        <color theme="1"/>
        <rFont val="PingFang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</si>
  <si>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OpenAI / </t>
    </r>
    <r>
      <rPr>
        <sz val="11"/>
        <color theme="1"/>
        <rFont val="PingFang SC"/>
        <family val="2"/>
      </rPr>
      <t xml:space="preserve">模型测试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</si>
  <si>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PingFang SC"/>
        <family val="2"/>
      </rPr>
      <t xml:space="preserve">助手内嵌的模型调用 </t>
    </r>
    <r>
      <rPr>
        <sz val="11"/>
        <color theme="1"/>
        <rFont val="Calibri"/>
        <family val="2"/>
        <charset val="1"/>
      </rPr>
      <t xml:space="preserve">+ Prompt </t>
    </r>
    <r>
      <rPr>
        <sz val="11"/>
        <color theme="1"/>
        <rFont val="PingFang SC"/>
        <family val="2"/>
      </rPr>
      <t xml:space="preserve">迭代调试（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PingFang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$100 + 5 </t>
    </r>
    <r>
      <rPr>
        <sz val="11"/>
        <color theme="1"/>
        <rFont val="PingFang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$30</t>
    </r>
    <r>
      <rPr>
        <sz val="11"/>
        <color theme="1"/>
        <rFont val="PingFang SC"/>
        <family val="2"/>
      </rPr>
      <t xml:space="preserve">）</t>
    </r>
  </si>
  <si>
    <r>
      <rPr>
        <sz val="11"/>
        <color theme="1"/>
        <rFont val="PingFang SC"/>
        <family val="2"/>
      </rPr>
      <t xml:space="preserve">服务器（阿里云 </t>
    </r>
    <r>
      <rPr>
        <sz val="11"/>
        <color theme="1"/>
        <rFont val="Calibri"/>
        <family val="2"/>
        <charset val="1"/>
      </rPr>
      <t xml:space="preserve">HK</t>
    </r>
    <r>
      <rPr>
        <sz val="11"/>
        <color theme="1"/>
        <rFont val="PingFang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</si>
  <si>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4C8G </t>
    </r>
    <r>
      <rPr>
        <sz val="11"/>
        <color theme="1"/>
        <rFont val="PingFang SC"/>
        <family val="2"/>
      </rPr>
      <t xml:space="preserve">轻量实例 </t>
    </r>
    <r>
      <rPr>
        <sz val="11"/>
        <color theme="1"/>
        <rFont val="Calibri"/>
        <family val="2"/>
        <charset val="1"/>
      </rPr>
      <t xml:space="preserve">$32/</t>
    </r>
    <r>
      <rPr>
        <sz val="11"/>
        <color theme="1"/>
        <rFont val="PingFang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× 2 </t>
    </r>
    <r>
      <rPr>
        <sz val="11"/>
        <color theme="1"/>
        <rFont val="PingFang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PingFang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+ 5 </t>
    </r>
    <r>
      <rPr>
        <sz val="11"/>
        <color theme="1"/>
        <rFont val="PingFang SC"/>
        <family val="2"/>
      </rPr>
      <t xml:space="preserve">月）</t>
    </r>
  </si>
  <si>
    <r>
      <rPr>
        <sz val="11"/>
        <color theme="1"/>
        <rFont val="PingFang SC"/>
        <family val="2"/>
      </rPr>
      <t xml:space="preserve">域名 </t>
    </r>
    <r>
      <rPr>
        <sz val="11"/>
        <color theme="1"/>
        <rFont val="Calibri"/>
        <family val="2"/>
        <charset val="1"/>
      </rPr>
      <t xml:space="preserve">+ DNS</t>
    </r>
  </si>
  <si>
    <r>
      <rPr>
        <sz val="11"/>
        <color theme="1"/>
        <rFont val="Calibri"/>
        <family val="2"/>
        <charset val="1"/>
      </rPr>
      <t xml:space="preserve">citur.com </t>
    </r>
    <r>
      <rPr>
        <sz val="11"/>
        <color theme="1"/>
        <rFont val="PingFang SC"/>
        <family val="2"/>
      </rPr>
      <t xml:space="preserve">试注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PingFang SC"/>
        <family val="2"/>
      </rPr>
      <t xml:space="preserve">备用 </t>
    </r>
    <r>
      <rPr>
        <sz val="11"/>
        <color theme="1"/>
        <rFont val="Calibri"/>
        <family val="2"/>
        <charset val="1"/>
      </rPr>
      <t xml:space="preserve">.cn </t>
    </r>
    <r>
      <rPr>
        <sz val="11"/>
        <color theme="1"/>
        <rFont val="PingFang SC"/>
        <family val="2"/>
      </rPr>
      <t xml:space="preserve">域名 </t>
    </r>
    <r>
      <rPr>
        <sz val="11"/>
        <color theme="1"/>
        <rFont val="Calibri"/>
        <family val="2"/>
        <charset val="1"/>
      </rPr>
      <t xml:space="preserve">+ Cloudflare </t>
    </r>
    <r>
      <rPr>
        <sz val="11"/>
        <color theme="1"/>
        <rFont val="PingFang SC"/>
        <family val="2"/>
      </rPr>
      <t xml:space="preserve">免费层 </t>
    </r>
    <r>
      <rPr>
        <sz val="11"/>
        <color theme="1"/>
        <rFont val="Calibri"/>
        <family val="2"/>
        <charset val="1"/>
      </rPr>
      <t xml:space="preserve">DNS</t>
    </r>
  </si>
  <si>
    <t xml:space="preserve">GitHub / CI</t>
  </si>
  <si>
    <r>
      <rPr>
        <sz val="11"/>
        <color theme="1"/>
        <rFont val="Calibri"/>
        <family val="2"/>
        <charset val="1"/>
      </rPr>
      <t xml:space="preserve">Actions </t>
    </r>
    <r>
      <rPr>
        <sz val="11"/>
        <color theme="1"/>
        <rFont val="PingFang SC"/>
        <family val="2"/>
      </rPr>
      <t xml:space="preserve">分钟数（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PingFang SC"/>
        <family val="2"/>
      </rPr>
      <t xml:space="preserve">流水线 </t>
    </r>
    <r>
      <rPr>
        <sz val="11"/>
        <color theme="1"/>
        <rFont val="Calibri"/>
        <family val="2"/>
        <charset val="1"/>
      </rPr>
      <t xml:space="preserve">~30k </t>
    </r>
    <r>
      <rPr>
        <sz val="11"/>
        <color theme="1"/>
        <rFont val="PingFang SC"/>
        <family val="2"/>
      </rPr>
      <t xml:space="preserve">分钟）</t>
    </r>
  </si>
  <si>
    <t xml:space="preserve">设计素材</t>
  </si>
  <si>
    <r>
      <rPr>
        <sz val="11"/>
        <color theme="1"/>
        <rFont val="Calibri"/>
        <family val="2"/>
        <charset val="1"/>
      </rPr>
      <t xml:space="preserve">Figma Pro 1 </t>
    </r>
    <r>
      <rPr>
        <sz val="11"/>
        <color theme="1"/>
        <rFont val="PingFang SC"/>
        <family val="2"/>
      </rPr>
      <t xml:space="preserve">个月 </t>
    </r>
    <r>
      <rPr>
        <sz val="11"/>
        <color theme="1"/>
        <rFont val="Calibri"/>
        <family val="2"/>
        <charset val="1"/>
      </rPr>
      <t xml:space="preserve">+ Iconify </t>
    </r>
    <r>
      <rPr>
        <sz val="11"/>
        <color theme="1"/>
        <rFont val="PingFang SC"/>
        <family val="2"/>
      </rPr>
      <t xml:space="preserve">图标一次性</t>
    </r>
  </si>
  <si>
    <t xml:space="preserve">杂项</t>
  </si>
  <si>
    <r>
      <rPr>
        <sz val="11"/>
        <color theme="1"/>
        <rFont val="Calibri"/>
        <family val="2"/>
        <charset val="1"/>
      </rPr>
      <t xml:space="preserve">Unsplash CDN + Google Fonts </t>
    </r>
    <r>
      <rPr>
        <sz val="11"/>
        <color theme="1"/>
        <rFont val="PingFang SC"/>
        <family val="2"/>
      </rPr>
      <t xml:space="preserve">商用授权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PingFang SC"/>
        <family val="2"/>
      </rPr>
      <t xml:space="preserve">越南语人工校对</t>
    </r>
  </si>
  <si>
    <t xml:space="preserve">合计（已花）</t>
  </si>
  <si>
    <r>
      <rPr>
        <b val="true"/>
        <sz val="14"/>
        <rFont val="PingFang SC"/>
        <family val="2"/>
      </rPr>
      <t xml:space="preserve">支出明细（按时间正序）— 项目 </t>
    </r>
    <r>
      <rPr>
        <b val="true"/>
        <sz val="14"/>
        <rFont val="Arial"/>
        <family val="0"/>
        <charset val="1"/>
      </rPr>
      <t xml:space="preserve">2026-04 </t>
    </r>
    <r>
      <rPr>
        <b val="true"/>
        <sz val="14"/>
        <rFont val="PingFang SC"/>
        <family val="2"/>
      </rPr>
      <t xml:space="preserve">启动</t>
    </r>
  </si>
  <si>
    <t xml:space="preserve">注：所有金额为估算（无真实发票对照）。每月底加新行。</t>
  </si>
  <si>
    <t xml:space="preserve">日期</t>
  </si>
  <si>
    <r>
      <rPr>
        <b val="true"/>
        <sz val="11"/>
        <color rgb="FFFFFFFF"/>
        <rFont val="PingFang SC"/>
        <family val="2"/>
      </rPr>
      <t xml:space="preserve">供应商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PingFang SC"/>
        <family val="2"/>
      </rPr>
      <t xml:space="preserve">项目</t>
    </r>
  </si>
  <si>
    <r>
      <rPr>
        <b val="true"/>
        <sz val="11"/>
        <color rgb="FFFFFFFF"/>
        <rFont val="PingFang SC"/>
        <family val="2"/>
      </rPr>
      <t xml:space="preserve">金额 </t>
    </r>
    <r>
      <rPr>
        <b val="true"/>
        <sz val="11"/>
        <color rgb="FFFFFFFF"/>
        <rFont val="Arial"/>
        <family val="0"/>
        <charset val="1"/>
      </rPr>
      <t xml:space="preserve">(USD)</t>
    </r>
  </si>
  <si>
    <t xml:space="preserve">具体买了什么</t>
  </si>
  <si>
    <t xml:space="preserve">工时备注</t>
  </si>
  <si>
    <r>
      <rPr>
        <b val="true"/>
        <i val="true"/>
        <sz val="11"/>
        <rFont val="Arial"/>
        <family val="0"/>
        <charset val="1"/>
      </rPr>
      <t xml:space="preserve">═══ 2026-04</t>
    </r>
    <r>
      <rPr>
        <b val="true"/>
        <i val="true"/>
        <sz val="11"/>
        <rFont val="PingFang SC"/>
        <family val="2"/>
      </rPr>
      <t xml:space="preserve">：项目启动 </t>
    </r>
    <r>
      <rPr>
        <b val="true"/>
        <i val="true"/>
        <sz val="11"/>
        <rFont val="Arial"/>
        <family val="0"/>
        <charset val="1"/>
      </rPr>
      <t xml:space="preserve">+ MVP + AI </t>
    </r>
    <r>
      <rPr>
        <b val="true"/>
        <i val="true"/>
        <sz val="11"/>
        <rFont val="PingFang SC"/>
        <family val="2"/>
      </rPr>
      <t xml:space="preserve">助手 ═══</t>
    </r>
  </si>
  <si>
    <t xml:space="preserve">2026-04-02</t>
  </si>
  <si>
    <t xml:space="preserve">Phase 1 MVP</t>
  </si>
  <si>
    <r>
      <rPr>
        <sz val="11"/>
        <color theme="1"/>
        <rFont val="Calibri"/>
        <family val="2"/>
        <charset val="1"/>
      </rPr>
      <t xml:space="preserve">monorepo </t>
    </r>
    <r>
      <rPr>
        <sz val="11"/>
        <color theme="1"/>
        <rFont val="PingFang SC"/>
        <family val="2"/>
      </rPr>
      <t xml:space="preserve">脚手架（</t>
    </r>
    <r>
      <rPr>
        <sz val="11"/>
        <color theme="1"/>
        <rFont val="Calibri"/>
        <family val="2"/>
        <charset val="1"/>
      </rPr>
      <t xml:space="preserve">backend/sales-web/admin-web/miniprogram</t>
    </r>
    <r>
      <rPr>
        <sz val="11"/>
        <color theme="1"/>
        <rFont val="PingFang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+ Prisma schema + JWT/RBAC 4 </t>
    </r>
    <r>
      <rPr>
        <sz val="11"/>
        <color theme="1"/>
        <rFont val="PingFang SC"/>
        <family val="2"/>
      </rPr>
      <t xml:space="preserve">角色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PingFang SC"/>
        <family val="2"/>
      </rPr>
      <t xml:space="preserve">微信 </t>
    </r>
    <r>
      <rPr>
        <sz val="11"/>
        <color theme="1"/>
        <rFont val="Calibri"/>
        <family val="2"/>
        <charset val="1"/>
      </rPr>
      <t xml:space="preserve">stub</t>
    </r>
  </si>
  <si>
    <t xml:space="preserve">~50h</t>
  </si>
  <si>
    <t xml:space="preserve">2026-04-09</t>
  </si>
  <si>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PingFang SC"/>
        <family val="2"/>
      </rPr>
      <t xml:space="preserve">订单核心</t>
    </r>
  </si>
  <si>
    <r>
      <rPr>
        <sz val="11"/>
        <color theme="1"/>
        <rFont val="Calibri"/>
        <family val="2"/>
        <charset val="1"/>
      </rPr>
      <t xml:space="preserve">Order/OrderItem/Passenger </t>
    </r>
    <r>
      <rPr>
        <sz val="11"/>
        <color theme="1"/>
        <rFont val="PingFang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+ 13 </t>
    </r>
    <r>
      <rPr>
        <sz val="11"/>
        <color theme="1"/>
        <rFont val="PingFang SC"/>
        <family val="2"/>
      </rPr>
      <t xml:space="preserve">状态机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PingFang SC"/>
        <family val="2"/>
      </rPr>
      <t xml:space="preserve">航班搜索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PingFang SC"/>
        <family val="2"/>
      </rPr>
      <t xml:space="preserve">座位库存 </t>
    </r>
    <r>
      <rPr>
        <sz val="11"/>
        <color theme="1"/>
        <rFont val="Calibri"/>
        <family val="2"/>
        <charset val="1"/>
      </rPr>
      <t xml:space="preserve">CAS + </t>
    </r>
    <r>
      <rPr>
        <sz val="11"/>
        <color theme="1"/>
        <rFont val="PingFang SC"/>
        <family val="2"/>
      </rPr>
      <t xml:space="preserve">退款报价</t>
    </r>
  </si>
  <si>
    <t xml:space="preserve">~55h</t>
  </si>
  <si>
    <t xml:space="preserve">2026-04-15</t>
  </si>
  <si>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PingFang SC"/>
        <family val="2"/>
      </rPr>
      <t xml:space="preserve">代理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PingFang SC"/>
        <family val="2"/>
      </rPr>
      <t xml:space="preserve">产品</t>
    </r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</si>
  <si>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PingFang SC"/>
        <family val="2"/>
      </rPr>
      <t xml:space="preserve">级代理层级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PingFang SC"/>
        <family val="2"/>
      </rPr>
      <t xml:space="preserve">佣金分账 </t>
    </r>
    <r>
      <rPr>
        <sz val="11"/>
        <color theme="1"/>
        <rFont val="Calibri"/>
        <family val="2"/>
        <charset val="1"/>
      </rPr>
      <t xml:space="preserve">+ Hotels/Transfers/Visas/Bundles CRUD</t>
    </r>
  </si>
  <si>
    <t xml:space="preserve">2026-04-18</t>
  </si>
  <si>
    <t xml:space="preserve">服务器</t>
  </si>
  <si>
    <r>
      <rPr>
        <sz val="11"/>
        <color theme="1"/>
        <rFont val="PingFang SC"/>
        <family val="2"/>
      </rPr>
      <t xml:space="preserve">阿里云 </t>
    </r>
    <r>
      <rPr>
        <sz val="11"/>
        <color theme="1"/>
        <rFont val="Calibri"/>
        <family val="2"/>
        <charset val="1"/>
      </rPr>
      <t xml:space="preserve">HK</t>
    </r>
  </si>
  <si>
    <r>
      <rPr>
        <sz val="11"/>
        <color theme="1"/>
        <rFont val="Calibri"/>
        <family val="2"/>
        <charset val="1"/>
      </rPr>
      <t xml:space="preserve">4C8G </t>
    </r>
    <r>
      <rPr>
        <sz val="11"/>
        <color theme="1"/>
        <rFont val="PingFang SC"/>
        <family val="2"/>
      </rPr>
      <t xml:space="preserve">轻量实例首月（包月 </t>
    </r>
    <r>
      <rPr>
        <sz val="11"/>
        <color theme="1"/>
        <rFont val="Calibri"/>
        <family val="2"/>
        <charset val="1"/>
      </rPr>
      <t xml:space="preserve">$32</t>
    </r>
    <r>
      <rPr>
        <sz val="11"/>
        <color theme="1"/>
        <rFont val="PingFang SC"/>
        <family val="2"/>
      </rPr>
      <t xml:space="preserve">）</t>
    </r>
  </si>
  <si>
    <t xml:space="preserve">2026-04-19</t>
  </si>
  <si>
    <t xml:space="preserve">域名</t>
  </si>
  <si>
    <r>
      <rPr>
        <sz val="11"/>
        <color theme="1"/>
        <rFont val="Calibri"/>
        <family val="2"/>
        <charset val="1"/>
      </rPr>
      <t xml:space="preserve">Namecheap + </t>
    </r>
    <r>
      <rPr>
        <sz val="11"/>
        <color theme="1"/>
        <rFont val="PingFang SC"/>
        <family val="2"/>
      </rPr>
      <t xml:space="preserve">阿里云</t>
    </r>
  </si>
  <si>
    <t xml:space="preserve">2026-04-22</t>
  </si>
  <si>
    <r>
      <rPr>
        <sz val="11"/>
        <color theme="1"/>
        <rFont val="Calibri"/>
        <family val="2"/>
        <charset val="1"/>
      </rPr>
      <t xml:space="preserve">Phase 2 </t>
    </r>
    <r>
      <rPr>
        <sz val="11"/>
        <color theme="1"/>
        <rFont val="PingFang SC"/>
        <family val="2"/>
      </rPr>
      <t xml:space="preserve">动态定价</t>
    </r>
  </si>
  <si>
    <r>
      <rPr>
        <sz val="11"/>
        <color theme="1"/>
        <rFont val="PingFang SC"/>
        <family val="2"/>
      </rPr>
      <t xml:space="preserve">动态定价引擎：</t>
    </r>
    <r>
      <rPr>
        <sz val="11"/>
        <color theme="1"/>
        <rFont val="Calibri"/>
        <family val="2"/>
        <charset val="1"/>
      </rPr>
      <t xml:space="preserve">DateRanking A/B/C/D × </t>
    </r>
    <r>
      <rPr>
        <sz val="11"/>
        <color theme="1"/>
        <rFont val="PingFang SC"/>
        <family val="2"/>
      </rPr>
      <t xml:space="preserve">余位 </t>
    </r>
    <r>
      <rPr>
        <sz val="11"/>
        <color theme="1"/>
        <rFont val="Calibri"/>
        <family val="2"/>
        <charset val="1"/>
      </rPr>
      <t xml:space="preserve">18 buckets</t>
    </r>
    <r>
      <rPr>
        <sz val="11"/>
        <color theme="1"/>
        <rFont val="PingFang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PricingService</t>
    </r>
    <r>
      <rPr>
        <sz val="11"/>
        <color theme="1"/>
        <rFont val="PingFang SC"/>
        <family val="2"/>
      </rPr>
      <t xml:space="preserve">；结算单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PingFang SC"/>
        <family val="2"/>
      </rPr>
      <t xml:space="preserve">月度报表</t>
    </r>
  </si>
  <si>
    <t xml:space="preserve">2026-04-25</t>
  </si>
  <si>
    <r>
      <rPr>
        <sz val="11"/>
        <color theme="1"/>
        <rFont val="Calibri"/>
        <family val="2"/>
        <charset val="1"/>
      </rPr>
      <t xml:space="preserve">Phase 2 AI </t>
    </r>
    <r>
      <rPr>
        <sz val="11"/>
        <color theme="1"/>
        <rFont val="PingFang SC"/>
        <family val="2"/>
      </rPr>
      <t xml:space="preserve">助手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</si>
  <si>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PingFang SC"/>
        <family val="2"/>
      </rPr>
      <t xml:space="preserve">助手 </t>
    </r>
    <r>
      <rPr>
        <sz val="11"/>
        <color theme="1"/>
        <rFont val="Calibri"/>
        <family val="2"/>
        <charset val="1"/>
      </rPr>
      <t xml:space="preserve">v1</t>
    </r>
    <r>
      <rPr>
        <sz val="11"/>
        <color theme="1"/>
        <rFont val="PingFang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PingFang SC"/>
        <family val="2"/>
      </rPr>
      <t xml:space="preserve">个 </t>
    </r>
    <r>
      <rPr>
        <sz val="11"/>
        <color theme="1"/>
        <rFont val="Calibri"/>
        <family val="2"/>
        <charset val="1"/>
      </rPr>
      <t xml:space="preserve">tool</t>
    </r>
    <r>
      <rPr>
        <sz val="11"/>
        <color theme="1"/>
        <rFont val="PingFang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search_flights/hotels/transfers/visas/bundles</t>
    </r>
    <r>
      <rPr>
        <sz val="11"/>
        <color theme="1"/>
        <rFont val="PingFang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+ propose_order + </t>
    </r>
    <r>
      <rPr>
        <sz val="11"/>
        <color theme="1"/>
        <rFont val="PingFang SC"/>
        <family val="2"/>
      </rPr>
      <t xml:space="preserve">多轮对话循环</t>
    </r>
  </si>
  <si>
    <t xml:space="preserve">~60h</t>
  </si>
  <si>
    <t xml:space="preserve">2026-04-26</t>
  </si>
  <si>
    <t xml:space="preserve">OpenAI</t>
  </si>
  <si>
    <t xml:space="preserve">OpenAI API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</si>
  <si>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PingFang SC"/>
        <family val="2"/>
      </rPr>
      <t xml:space="preserve">助手 </t>
    </r>
    <r>
      <rPr>
        <sz val="11"/>
        <color theme="1"/>
        <rFont val="Calibri"/>
        <family val="2"/>
        <charset val="1"/>
      </rPr>
      <t xml:space="preserve">Prompt </t>
    </r>
    <r>
      <rPr>
        <sz val="11"/>
        <color theme="1"/>
        <rFont val="PingFang SC"/>
        <family val="2"/>
      </rPr>
      <t xml:space="preserve">迭代 </t>
    </r>
    <r>
      <rPr>
        <sz val="11"/>
        <color theme="1"/>
        <rFont val="Calibri"/>
        <family val="2"/>
        <charset val="1"/>
      </rPr>
      <t xml:space="preserve">+ GPT-5-mini vs Claude Sonnet </t>
    </r>
    <r>
      <rPr>
        <sz val="11"/>
        <color theme="1"/>
        <rFont val="PingFang SC"/>
        <family val="2"/>
      </rPr>
      <t xml:space="preserve">对比 </t>
    </r>
    <r>
      <rPr>
        <sz val="11"/>
        <color theme="1"/>
        <rFont val="Calibri"/>
        <family val="2"/>
        <charset val="1"/>
      </rPr>
      <t xml:space="preserve">+ tool-use </t>
    </r>
    <r>
      <rPr>
        <sz val="11"/>
        <color theme="1"/>
        <rFont val="PingFang SC"/>
        <family val="2"/>
      </rPr>
      <t xml:space="preserve">调试</t>
    </r>
  </si>
  <si>
    <t xml:space="preserve">2026-04-27</t>
  </si>
  <si>
    <t xml:space="preserve">Unsplash + Google Fonts</t>
  </si>
  <si>
    <r>
      <rPr>
        <sz val="11"/>
        <color theme="1"/>
        <rFont val="PingFang SC"/>
        <family val="2"/>
      </rPr>
      <t xml:space="preserve">酒店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接送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签证产品图（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PingFang SC"/>
        <family val="2"/>
      </rPr>
      <t xml:space="preserve">张 </t>
    </r>
    <r>
      <rPr>
        <sz val="11"/>
        <color theme="1"/>
        <rFont val="Calibri"/>
        <family val="2"/>
        <charset val="1"/>
      </rPr>
      <t xml:space="preserve">hero</t>
    </r>
    <r>
      <rPr>
        <sz val="11"/>
        <color theme="1"/>
        <rFont val="PingFang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+ Inter / Noto Sans </t>
    </r>
    <r>
      <rPr>
        <sz val="11"/>
        <color theme="1"/>
        <rFont val="PingFang SC"/>
        <family val="2"/>
      </rPr>
      <t xml:space="preserve">商用授权</t>
    </r>
  </si>
  <si>
    <t xml:space="preserve">2026-04-28</t>
  </si>
  <si>
    <t xml:space="preserve">设计</t>
  </si>
  <si>
    <t xml:space="preserve">Figma + Iconify</t>
  </si>
  <si>
    <r>
      <rPr>
        <sz val="11"/>
        <color theme="1"/>
        <rFont val="Calibri"/>
        <family val="2"/>
        <charset val="1"/>
      </rPr>
      <t xml:space="preserve">Figma Pro 1 </t>
    </r>
    <r>
      <rPr>
        <sz val="11"/>
        <color theme="1"/>
        <rFont val="PingFang SC"/>
        <family val="2"/>
      </rPr>
      <t xml:space="preserve">个月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PingFang SC"/>
        <family val="2"/>
      </rPr>
      <t xml:space="preserve">一些图标包（一次性买断）</t>
    </r>
  </si>
  <si>
    <r>
      <rPr>
        <sz val="11"/>
        <color theme="1"/>
        <rFont val="Calibri"/>
        <family val="2"/>
        <charset val="1"/>
      </rPr>
      <t xml:space="preserve">Phase 2 </t>
    </r>
    <r>
      <rPr>
        <sz val="11"/>
        <color theme="1"/>
        <rFont val="PingFang SC"/>
        <family val="2"/>
      </rPr>
      <t xml:space="preserve">演示准备</t>
    </r>
  </si>
  <si>
    <r>
      <rPr>
        <sz val="11"/>
        <color theme="1"/>
        <rFont val="PingFang SC"/>
        <family val="2"/>
      </rPr>
      <t xml:space="preserve">小程序 </t>
    </r>
    <r>
      <rPr>
        <sz val="11"/>
        <color theme="1"/>
        <rFont val="Calibri"/>
        <family val="2"/>
        <charset val="1"/>
      </rPr>
      <t xml:space="preserve">(Taro 4.0.9) + </t>
    </r>
    <r>
      <rPr>
        <sz val="11"/>
        <color theme="1"/>
        <rFont val="PingFang SC"/>
        <family val="2"/>
      </rPr>
      <t xml:space="preserve">微信支付 </t>
    </r>
    <r>
      <rPr>
        <sz val="11"/>
        <color theme="1"/>
        <rFont val="Calibri"/>
        <family val="2"/>
        <charset val="1"/>
      </rPr>
      <t xml:space="preserve">sandbox + i18n </t>
    </r>
    <r>
      <rPr>
        <sz val="11"/>
        <color theme="1"/>
        <rFont val="PingFang SC"/>
        <family val="2"/>
      </rPr>
      <t xml:space="preserve">完善 </t>
    </r>
    <r>
      <rPr>
        <sz val="11"/>
        <color theme="1"/>
        <rFont val="Calibri"/>
        <family val="2"/>
        <charset val="1"/>
      </rPr>
      <t xml:space="preserve">+ Demo seed 6 </t>
    </r>
    <r>
      <rPr>
        <sz val="11"/>
        <color theme="1"/>
        <rFont val="PingFang SC"/>
        <family val="2"/>
      </rPr>
      <t xml:space="preserve">单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PingFang SC"/>
        <family val="2"/>
      </rPr>
      <t xml:space="preserve">演示包</t>
    </r>
  </si>
  <si>
    <t xml:space="preserve">~45h</t>
  </si>
  <si>
    <t xml:space="preserve">2026-04-29</t>
  </si>
  <si>
    <t xml:space="preserve">GitHub</t>
  </si>
  <si>
    <t xml:space="preserve">GitHub Actions</t>
  </si>
  <si>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PingFang SC"/>
        <family val="2"/>
      </rPr>
      <t xml:space="preserve">流水线（</t>
    </r>
    <r>
      <rPr>
        <sz val="11"/>
        <color theme="1"/>
        <rFont val="Calibri"/>
        <family val="2"/>
        <charset val="1"/>
      </rPr>
      <t xml:space="preserve">lint/test/build/docker push</t>
    </r>
    <r>
      <rPr>
        <sz val="11"/>
        <color theme="1"/>
        <rFont val="PingFang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~30k </t>
    </r>
    <r>
      <rPr>
        <sz val="11"/>
        <color theme="1"/>
        <rFont val="PingFang SC"/>
        <family val="2"/>
      </rPr>
      <t xml:space="preserve">分钟</t>
    </r>
  </si>
  <si>
    <t xml:space="preserve">人工翻译</t>
  </si>
  <si>
    <r>
      <rPr>
        <sz val="11"/>
        <color theme="1"/>
        <rFont val="PingFang SC"/>
        <family val="2"/>
      </rPr>
      <t xml:space="preserve">越南语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PingFang SC"/>
        <family val="2"/>
      </rPr>
      <t xml:space="preserve">英语 </t>
    </r>
    <r>
      <rPr>
        <sz val="11"/>
        <color theme="1"/>
        <rFont val="Calibri"/>
        <family val="2"/>
        <charset val="1"/>
      </rPr>
      <t xml:space="preserve">i18n </t>
    </r>
    <r>
      <rPr>
        <sz val="11"/>
        <color theme="1"/>
        <rFont val="PingFang SC"/>
        <family val="2"/>
      </rPr>
      <t xml:space="preserve">文案人工校对</t>
    </r>
  </si>
  <si>
    <t xml:space="preserve">Anthropic API</t>
  </si>
  <si>
    <r>
      <rPr>
        <sz val="11"/>
        <color theme="1"/>
        <rFont val="Calibri"/>
        <family val="2"/>
        <charset val="1"/>
      </rPr>
      <t xml:space="preserve">Claude Code </t>
    </r>
    <r>
      <rPr>
        <sz val="11"/>
        <color theme="1"/>
        <rFont val="PingFang SC"/>
        <family val="2"/>
      </rPr>
      <t xml:space="preserve">试用期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PingFang SC"/>
        <family val="2"/>
      </rPr>
      <t xml:space="preserve">用量（开发主力工具）</t>
    </r>
  </si>
  <si>
    <r>
      <rPr>
        <b val="true"/>
        <i val="true"/>
        <sz val="11"/>
        <rFont val="Arial"/>
        <family val="0"/>
        <charset val="1"/>
      </rPr>
      <t xml:space="preserve">═══ 2026-05</t>
    </r>
    <r>
      <rPr>
        <b val="true"/>
        <i val="true"/>
        <sz val="11"/>
        <rFont val="PingFang SC"/>
        <family val="2"/>
      </rPr>
      <t xml:space="preserve">：反馈驱动迭代 ═══</t>
    </r>
  </si>
  <si>
    <t xml:space="preserve">2026-05-05</t>
  </si>
  <si>
    <r>
      <rPr>
        <sz val="11"/>
        <color theme="1"/>
        <rFont val="Calibri"/>
        <family val="2"/>
        <charset val="1"/>
      </rPr>
      <t xml:space="preserve">M2 </t>
    </r>
    <r>
      <rPr>
        <sz val="11"/>
        <color theme="1"/>
        <rFont val="PingFang SC"/>
        <family val="2"/>
      </rPr>
      <t xml:space="preserve">完善</t>
    </r>
  </si>
  <si>
    <r>
      <rPr>
        <sz val="11"/>
        <color theme="1"/>
        <rFont val="Calibri"/>
        <family val="2"/>
        <charset val="1"/>
      </rPr>
      <t xml:space="preserve">M2 </t>
    </r>
    <r>
      <rPr>
        <sz val="11"/>
        <color theme="1"/>
        <rFont val="PingFang SC"/>
        <family val="2"/>
      </rPr>
      <t xml:space="preserve">路由表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PingFang SC"/>
        <family val="2"/>
      </rPr>
      <t xml:space="preserve">跨域代理 </t>
    </r>
    <r>
      <rPr>
        <sz val="11"/>
        <color theme="1"/>
        <rFont val="Calibri"/>
        <family val="2"/>
        <charset val="1"/>
      </rPr>
      <t xml:space="preserve">RBAC + agents.routes </t>
    </r>
    <r>
      <rPr>
        <sz val="11"/>
        <color theme="1"/>
        <rFont val="PingFang SC"/>
        <family val="2"/>
      </rPr>
      <t xml:space="preserve">完整覆盖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PingFang SC"/>
        <family val="2"/>
      </rPr>
      <t xml:space="preserve">演示包 </t>
    </r>
    <r>
      <rPr>
        <sz val="11"/>
        <color theme="1"/>
        <rFont val="Calibri"/>
        <family val="2"/>
        <charset val="1"/>
      </rPr>
      <t xml:space="preserve">docx/pptx </t>
    </r>
    <r>
      <rPr>
        <sz val="11"/>
        <color theme="1"/>
        <rFont val="PingFang SC"/>
        <family val="2"/>
      </rPr>
      <t xml:space="preserve">生成脚本</t>
    </r>
  </si>
  <si>
    <t xml:space="preserve">~25h</t>
  </si>
  <si>
    <t xml:space="preserve">2026-05-13</t>
  </si>
  <si>
    <t xml:space="preserve">小程序修复</t>
  </si>
  <si>
    <r>
      <rPr>
        <sz val="11"/>
        <color theme="1"/>
        <rFont val="PingFang SC"/>
        <family val="2"/>
      </rPr>
      <t xml:space="preserve">小程序 </t>
    </r>
    <r>
      <rPr>
        <sz val="11"/>
        <color theme="1"/>
        <rFont val="Calibri"/>
        <family val="2"/>
        <charset val="1"/>
      </rPr>
      <t xml:space="preserve">build </t>
    </r>
    <r>
      <rPr>
        <sz val="11"/>
        <color theme="1"/>
        <rFont val="PingFang SC"/>
        <family val="2"/>
      </rPr>
      <t xml:space="preserve">通：</t>
    </r>
    <r>
      <rPr>
        <sz val="11"/>
        <color theme="1"/>
        <rFont val="Calibri"/>
        <family val="2"/>
        <charset val="1"/>
      </rPr>
      <t xml:space="preserve">webpack@5.91 pin + Node 22 </t>
    </r>
    <r>
      <rPr>
        <sz val="11"/>
        <color theme="1"/>
        <rFont val="PingFang SC"/>
        <family val="2"/>
      </rPr>
      <t xml:space="preserve">兼容 </t>
    </r>
    <r>
      <rPr>
        <sz val="11"/>
        <color theme="1"/>
        <rFont val="Calibri"/>
        <family val="2"/>
        <charset val="1"/>
      </rPr>
      <t xml:space="preserve">+ dev.ts </t>
    </r>
    <r>
      <rPr>
        <sz val="11"/>
        <color theme="1"/>
        <rFont val="PingFang SC"/>
        <family val="2"/>
      </rPr>
      <t xml:space="preserve">指 </t>
    </r>
    <r>
      <rPr>
        <sz val="11"/>
        <color theme="1"/>
        <rFont val="Calibri"/>
        <family val="2"/>
        <charset val="1"/>
      </rPr>
      <t xml:space="preserve">staging + Taro </t>
    </r>
    <r>
      <rPr>
        <sz val="11"/>
        <color theme="1"/>
        <rFont val="PingFang SC"/>
        <family val="2"/>
      </rPr>
      <t xml:space="preserve">配置修</t>
    </r>
  </si>
  <si>
    <t xml:space="preserve">~18h</t>
  </si>
  <si>
    <r>
      <rPr>
        <sz val="11"/>
        <color theme="1"/>
        <rFont val="PingFang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PingFang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4-5 </t>
    </r>
    <r>
      <rPr>
        <sz val="11"/>
        <color theme="1"/>
        <rFont val="PingFang SC"/>
        <family val="2"/>
      </rPr>
      <t xml:space="preserve">月共 </t>
    </r>
    <r>
      <rPr>
        <sz val="11"/>
        <color theme="1"/>
        <rFont val="Calibri"/>
        <family val="2"/>
        <charset val="1"/>
      </rPr>
      <t xml:space="preserve">$64</t>
    </r>
    <r>
      <rPr>
        <sz val="11"/>
        <color theme="1"/>
        <rFont val="PingFang SC"/>
        <family val="2"/>
      </rPr>
      <t xml:space="preserve">）</t>
    </r>
  </si>
  <si>
    <t xml:space="preserve">2026-05-14</t>
  </si>
  <si>
    <r>
      <rPr>
        <sz val="11"/>
        <color theme="1"/>
        <rFont val="PingFang SC"/>
        <family val="2"/>
      </rPr>
      <t xml:space="preserve">测试 </t>
    </r>
    <r>
      <rPr>
        <sz val="11"/>
        <color theme="1"/>
        <rFont val="Calibri"/>
        <family val="2"/>
        <charset val="1"/>
      </rPr>
      <t xml:space="preserve">staging AI </t>
    </r>
    <r>
      <rPr>
        <sz val="11"/>
        <color theme="1"/>
        <rFont val="PingFang SC"/>
        <family val="2"/>
      </rPr>
      <t xml:space="preserve">调用（地区屏蔽前的小额）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</si>
  <si>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PingFang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Claude Code token </t>
    </r>
    <r>
      <rPr>
        <sz val="11"/>
        <color theme="1"/>
        <rFont val="PingFang SC"/>
        <family val="2"/>
      </rPr>
      <t xml:space="preserve">用量（持续开发用）</t>
    </r>
  </si>
  <si>
    <t xml:space="preserve">2026-05-20</t>
  </si>
  <si>
    <r>
      <rPr>
        <sz val="11"/>
        <color theme="1"/>
        <rFont val="PingFang SC"/>
        <family val="2"/>
      </rPr>
      <t xml:space="preserve">反馈 </t>
    </r>
    <r>
      <rPr>
        <sz val="11"/>
        <color theme="1"/>
        <rFont val="Calibri"/>
        <family val="2"/>
        <charset val="1"/>
      </rPr>
      <t xml:space="preserve">wave 1</t>
    </r>
  </si>
  <si>
    <r>
      <rPr>
        <sz val="11"/>
        <color theme="1"/>
        <rFont val="Calibri"/>
        <family val="2"/>
        <charset val="1"/>
      </rPr>
      <t xml:space="preserve">PNR Excel </t>
    </r>
    <r>
      <rPr>
        <sz val="11"/>
        <color theme="1"/>
        <rFont val="PingFang SC"/>
        <family val="2"/>
      </rPr>
      <t xml:space="preserve">导出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PingFang SC"/>
        <family val="2"/>
      </rPr>
      <t xml:space="preserve">护照 </t>
    </r>
    <r>
      <rPr>
        <sz val="11"/>
        <color theme="1"/>
        <rFont val="Calibri"/>
        <family val="2"/>
        <charset val="1"/>
      </rPr>
      <t xml:space="preserve">zip </t>
    </r>
    <r>
      <rPr>
        <sz val="11"/>
        <color theme="1"/>
        <rFont val="PingFang SC"/>
        <family val="2"/>
      </rPr>
      <t xml:space="preserve">打包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PingFang SC"/>
        <family val="2"/>
      </rPr>
      <t xml:space="preserve">待办系统 </t>
    </r>
    <r>
      <rPr>
        <sz val="11"/>
        <color theme="1"/>
        <rFont val="Calibri"/>
        <family val="2"/>
        <charset val="1"/>
      </rPr>
      <t xml:space="preserve">/ 17 </t>
    </r>
    <r>
      <rPr>
        <sz val="11"/>
        <color theme="1"/>
        <rFont val="PingFang SC"/>
        <family val="2"/>
      </rPr>
      <t xml:space="preserve">字段扩展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PingFang SC"/>
        <family val="2"/>
      </rPr>
      <t xml:space="preserve">拼房 </t>
    </r>
    <r>
      <rPr>
        <sz val="11"/>
        <color theme="1"/>
        <rFont val="Calibri"/>
        <family val="2"/>
        <charset val="1"/>
      </rPr>
      <t xml:space="preserve">endpoint / claim </t>
    </r>
    <r>
      <rPr>
        <sz val="11"/>
        <color theme="1"/>
        <rFont val="PingFang SC"/>
        <family val="2"/>
      </rPr>
      <t xml:space="preserve">接单</t>
    </r>
  </si>
  <si>
    <t xml:space="preserve">═══ 合计 ═══</t>
  </si>
  <si>
    <t xml:space="preserve">投产后月成本预估（3 阶段）</t>
  </si>
  <si>
    <t xml:space="preserve">蓝色 = 假设输入；黑色 = 公式合计；金额单位：USD/月</t>
  </si>
  <si>
    <r>
      <rPr>
        <b val="true"/>
        <sz val="11"/>
        <color rgb="FFFFFFFF"/>
        <rFont val="Arial"/>
        <family val="0"/>
        <charset val="1"/>
      </rPr>
      <t xml:space="preserve">A · </t>
    </r>
    <r>
      <rPr>
        <b val="true"/>
        <sz val="11"/>
        <color rgb="FFFFFFFF"/>
        <rFont val="PingFang SC"/>
        <family val="2"/>
      </rPr>
      <t xml:space="preserve">内部测试期</t>
    </r>
  </si>
  <si>
    <r>
      <rPr>
        <b val="true"/>
        <sz val="11"/>
        <color rgb="FFFFFFFF"/>
        <rFont val="Arial"/>
        <family val="0"/>
        <charset val="1"/>
      </rPr>
      <t xml:space="preserve">B · </t>
    </r>
    <r>
      <rPr>
        <b val="true"/>
        <sz val="11"/>
        <color rgb="FFFFFFFF"/>
        <rFont val="PingFang SC"/>
        <family val="2"/>
      </rPr>
      <t xml:space="preserve">公测期 </t>
    </r>
    <r>
      <rPr>
        <b val="true"/>
        <sz val="11"/>
        <color rgb="FFFFFFFF"/>
        <rFont val="Arial"/>
        <family val="0"/>
        <charset val="1"/>
      </rPr>
      <t xml:space="preserve">(~500 </t>
    </r>
    <r>
      <rPr>
        <b val="true"/>
        <sz val="11"/>
        <color rgb="FFFFFFFF"/>
        <rFont val="PingFang SC"/>
        <family val="2"/>
      </rPr>
      <t xml:space="preserve">客户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</si>
  <si>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C · </t>
    </r>
    <r>
      <rPr>
        <b val="true"/>
        <sz val="11"/>
        <color rgb="FFFFFFFF"/>
        <rFont val="PingFang SC"/>
        <family val="2"/>
      </rPr>
      <t xml:space="preserve">稳定期 </t>
    </r>
    <r>
      <rPr>
        <b val="true"/>
        <sz val="11"/>
        <color rgb="FFFFFFFF"/>
        <rFont val="Arial"/>
        <family val="0"/>
        <charset val="1"/>
      </rPr>
      <t xml:space="preserve">(~5000 </t>
    </r>
    <r>
      <rPr>
        <b val="true"/>
        <sz val="11"/>
        <color rgb="FFFFFFFF"/>
        <rFont val="PingFang SC"/>
        <family val="2"/>
      </rPr>
      <t xml:space="preserve">客户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</si>
  <si>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AI / Token</t>
  </si>
  <si>
    <t xml:space="preserve">对话量×单价；A: 50-200/天 ｜ B: 500-1500/天 ｜ C: 3000-8000/天</t>
  </si>
  <si>
    <t xml:space="preserve">阿里云 HK 4C8G → 8C16G + 备份机 → 主从 + worker</t>
  </si>
  <si>
    <t xml:space="preserve">数据库（独立 RDS）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</si>
  <si>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PingFang SC"/>
        <family val="2"/>
      </rPr>
      <t xml:space="preserve">起独立 </t>
    </r>
    <r>
      <rPr>
        <sz val="11"/>
        <color theme="1"/>
        <rFont val="Calibri"/>
        <family val="2"/>
        <charset val="1"/>
      </rPr>
      <t xml:space="preserve">4G</t>
    </r>
    <r>
      <rPr>
        <sz val="11"/>
        <color theme="1"/>
        <rFont val="PingFang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PingFang SC"/>
        <family val="2"/>
      </rPr>
      <t xml:space="preserve">主从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PingFang SC"/>
        <family val="2"/>
      </rPr>
      <t xml:space="preserve">自动备份</t>
    </r>
  </si>
  <si>
    <r>
      <rPr>
        <sz val="11"/>
        <color theme="1"/>
        <rFont val="Calibri"/>
        <family val="2"/>
        <charset val="1"/>
      </rPr>
      <t xml:space="preserve">CDN</t>
    </r>
    <r>
      <rPr>
        <sz val="11"/>
        <color theme="1"/>
        <rFont val="PingFang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Cloudflare</t>
    </r>
    <r>
      <rPr>
        <sz val="11"/>
        <color theme="1"/>
        <rFont val="PingFang SC"/>
        <family val="2"/>
      </rPr>
      <t xml:space="preserve">）</t>
    </r>
  </si>
  <si>
    <t xml:space="preserve">免费 → Pro $20 → Business $200，按流量分级</t>
  </si>
  <si>
    <t xml:space="preserve">邮件 / 短信</t>
  </si>
  <si>
    <t xml:space="preserve">阿里云通信 / Twilio 按量计费</t>
  </si>
  <si>
    <t xml:space="preserve">监控（Sentry + 日志）</t>
  </si>
  <si>
    <r>
      <rPr>
        <sz val="11"/>
        <color theme="1"/>
        <rFont val="Calibri"/>
        <family val="2"/>
        <charset val="1"/>
      </rPr>
      <t xml:space="preserve">Team plan + </t>
    </r>
    <r>
      <rPr>
        <sz val="11"/>
        <color theme="1"/>
        <rFont val="PingFang SC"/>
        <family val="2"/>
      </rPr>
      <t xml:space="preserve">日志聚合</t>
    </r>
  </si>
  <si>
    <t xml:space="preserve">其他（域名/SSL/备份）</t>
  </si>
  <si>
    <t xml:space="preserve">域名续费、SSL 免费、备份外发</t>
  </si>
  <si>
    <t xml:space="preserve">月成本合计</t>
  </si>
  <si>
    <r>
      <rPr>
        <i val="true"/>
        <sz val="11"/>
        <rFont val="Arial"/>
        <family val="0"/>
        <charset val="1"/>
      </rPr>
      <t xml:space="preserve">× 12 </t>
    </r>
    <r>
      <rPr>
        <i val="true"/>
        <sz val="11"/>
        <rFont val="PingFang SC"/>
        <family val="2"/>
      </rPr>
      <t xml:space="preserve">月（年）</t>
    </r>
  </si>
  <si>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PingFang SC"/>
        <family val="2"/>
      </rPr>
      <t xml:space="preserve">单次对话成本（</t>
    </r>
    <r>
      <rPr>
        <b val="true"/>
        <sz val="14"/>
        <rFont val="Arial"/>
        <family val="0"/>
        <charset val="1"/>
      </rPr>
      <t xml:space="preserve">Claude Sonnet 4.6 </t>
    </r>
    <r>
      <rPr>
        <b val="true"/>
        <sz val="14"/>
        <rFont val="PingFang SC"/>
        <family val="2"/>
      </rPr>
      <t xml:space="preserve">定价）</t>
    </r>
  </si>
  <si>
    <t xml:space="preserve">定价（USD per 1M tokens）</t>
  </si>
  <si>
    <t xml:space="preserve">输入 token</t>
  </si>
  <si>
    <t xml:space="preserve">输出 token</t>
  </si>
  <si>
    <t xml:space="preserve">缓存读取（输入打 9 折）</t>
  </si>
  <si>
    <t xml:space="preserve">单次对话假设（5 个轮次平均）</t>
  </si>
  <si>
    <t xml:space="preserve">输入 tokens（无缓存）</t>
  </si>
  <si>
    <t xml:space="preserve">输入 tokens（缓存命中）</t>
  </si>
  <si>
    <t xml:space="preserve">输入 tokens（缓存未命中）</t>
  </si>
  <si>
    <t xml:space="preserve">输出 tokens</t>
  </si>
  <si>
    <t xml:space="preserve">成本计算</t>
  </si>
  <si>
    <t xml:space="preserve">不带 prompt caching</t>
  </si>
  <si>
    <t xml:space="preserve">输入成本</t>
  </si>
  <si>
    <t xml:space="preserve">输出成本</t>
  </si>
  <si>
    <t xml:space="preserve">对话总成本（无缓存）</t>
  </si>
  <si>
    <t xml:space="preserve">启用 prompt caching</t>
  </si>
  <si>
    <t xml:space="preserve">缓存读取成本</t>
  </si>
  <si>
    <t xml:space="preserve">全价输入成本</t>
  </si>
  <si>
    <t xml:space="preserve">对话总成本（含缓存）</t>
  </si>
  <si>
    <t xml:space="preserve">省下</t>
  </si>
  <si>
    <t xml:space="preserve">对话量 → 月成本预估（含缓存）</t>
  </si>
  <si>
    <t xml:space="preserve">对话/天</t>
  </si>
  <si>
    <t xml:space="preserve">对话/月</t>
  </si>
  <si>
    <t xml:space="preserve">月成本（USD）</t>
  </si>
  <si>
    <t xml:space="preserve">年成本（USD）</t>
  </si>
  <si>
    <t xml:space="preserve">单位经济学（成本 vs 收入）</t>
  </si>
  <si>
    <t xml:space="preserve">蓝色 = 假设；黑色 = 公式；绿色 = 跨表引用</t>
  </si>
  <si>
    <t xml:space="preserve">汇率 CNY → USD</t>
  </si>
  <si>
    <t xml:space="preserve">平台抽成率</t>
  </si>
  <si>
    <t xml:space="preserve">阶段</t>
  </si>
  <si>
    <t xml:space="preserve">月单量</t>
  </si>
  <si>
    <t xml:space="preserve">客单价（¥）</t>
  </si>
  <si>
    <t xml:space="preserve">月 GMV（¥）</t>
  </si>
  <si>
    <t xml:space="preserve">月毛利（¥）</t>
  </si>
  <si>
    <t xml:space="preserve">月毛利（$）</t>
  </si>
  <si>
    <t xml:space="preserve">公测期</t>
  </si>
  <si>
    <t xml:space="preserve">稳定期</t>
  </si>
  <si>
    <t xml:space="preserve">规模化</t>
  </si>
  <si>
    <t xml:space="preserve">成本覆盖比</t>
  </si>
  <si>
    <t xml:space="preserve">月成本（$）</t>
  </si>
  <si>
    <t xml:space="preserve">覆盖倍数</t>
  </si>
  <si>
    <t xml:space="preserve">毛利率（毛利/GMV）</t>
  </si>
  <si>
    <t xml:space="preserve">结论：单位经济学健康。关键不是控成本，是订单量做起来。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</si>
</sst>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\$#,##0;&quot;($&quot;#,##0\);\-"/>
    <numFmt numFmtId="167" formatCode="\$#,##0.00;&quot;($&quot;#,##0.00\);\-"/>
    <numFmt numFmtId="168" formatCode="#,##0"/>
    <numFmt numFmtId="169" formatCode="0.0%"/>
    <numFmt numFmtId="170" formatCode="0.00"/>
    <numFmt numFmtId="171" formatCode="\¥#,##0"/>
    <numFmt numFmtId="172" formatCode="0.0\×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PingFang SC"/>
      <family val="2"/>
    </font>
    <font>
      <b val="true"/>
      <sz val="14"/>
      <name val="Arial"/>
      <family val="0"/>
      <charset val="1"/>
    </font>
    <font>
      <b val="true"/>
      <sz val="11"/>
      <color rgb="FFFFFFFF"/>
      <name val="PingFang SC"/>
      <family val="2"/>
    </font>
    <font>
      <b val="true"/>
      <sz val="11"/>
      <color rgb="FFFFFFFF"/>
      <name val="Arial"/>
      <family val="0"/>
      <charset val="1"/>
    </font>
    <font>
      <sz val="11"/>
      <color theme="1"/>
      <name val="PingFang SC"/>
      <family val="2"/>
    </font>
    <font>
      <sz val="11"/>
      <color rgb="FF000000"/>
      <name val="Arial"/>
      <family val="0"/>
      <charset val="1"/>
    </font>
    <font>
      <b val="true"/>
      <sz val="11"/>
      <name val="PingFang SC"/>
      <family val="2"/>
    </font>
    <font>
      <b val="true"/>
      <sz val="11"/>
      <name val="Arial"/>
      <family val="0"/>
      <charset val="1"/>
    </font>
    <font>
      <i val="true"/>
      <sz val="10"/>
      <color rgb="FF666666"/>
      <name val="PingFang SC"/>
      <family val="2"/>
    </font>
    <font>
      <b val="true"/>
      <i val="true"/>
      <sz val="11"/>
      <name val="Arial"/>
      <family val="0"/>
      <charset val="1"/>
    </font>
    <font>
      <b val="true"/>
      <i val="true"/>
      <sz val="11"/>
      <name val="PingFang SC"/>
      <family val="2"/>
    </font>
    <font>
      <sz val="11"/>
      <color rgb="FF0000FF"/>
      <name val="Arial"/>
      <family val="0"/>
      <charset val="1"/>
    </font>
    <font>
      <b val="true"/>
      <sz val="14"/>
      <name val="PingFang SC"/>
      <family val="2"/>
      <charset val="1"/>
    </font>
    <font>
      <i val="true"/>
      <sz val="10"/>
      <color rgb="FF666666"/>
      <name val="PingFang SC"/>
      <family val="2"/>
      <charset val="1"/>
    </font>
    <font>
      <b val="true"/>
      <sz val="11"/>
      <color rgb="FFFFFFFF"/>
      <name val="PingFang SC"/>
      <family val="2"/>
      <charset val="1"/>
    </font>
    <font>
      <sz val="11"/>
      <color theme="1"/>
      <name val="PingFang SC"/>
      <family val="2"/>
      <charset val="1"/>
    </font>
    <font>
      <b val="true"/>
      <sz val="11"/>
      <name val="PingFang SC"/>
      <family val="2"/>
      <charset val="1"/>
    </font>
    <font>
      <i val="true"/>
      <sz val="11"/>
      <name val="Arial"/>
      <family val="0"/>
      <charset val="1"/>
    </font>
    <font>
      <i val="true"/>
      <sz val="11"/>
      <name val="PingFang SC"/>
      <family val="2"/>
    </font>
    <font>
      <i val="true"/>
      <sz val="11"/>
      <name val="PingFang SC"/>
      <family val="2"/>
      <charset val="1"/>
    </font>
    <font>
      <sz val="11"/>
      <color rgb="FF008000"/>
      <name val="Arial"/>
      <family val="0"/>
      <charset val="1"/>
    </font>
    <font>
      <b val="true"/>
      <i val="true"/>
      <sz val="11"/>
      <color rgb="FF2C5F2D"/>
      <name val="PingFang SC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E2761"/>
        <bgColor rgb="FF333399"/>
      </patternFill>
    </fill>
    <fill>
      <patternFill patternType="solid">
        <fgColor rgb="FFFFF2CC"/>
        <bgColor rgb="FFE7E8D1"/>
      </patternFill>
    </fill>
    <fill>
      <patternFill patternType="solid">
        <fgColor rgb="FFE7E8D1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7E8D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C5F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80"/>
  </cols>
  <sheetData>
    <row r="1" customFormat="false" ht="21.75" hidden="false" customHeight="true" outlineLevel="0" collapsed="false">
      <c r="A1" s="2" t="s">
        <v>0</v>
      </c>
      <c r="B1" s="2"/>
      <c r="C1" s="2"/>
    </row>
    <row r="3" customFormat="false" ht="18" hidden="false" customHeight="true" outlineLevel="0" collapsed="false">
      <c r="A3" s="3" t="s">
        <v>1</v>
      </c>
      <c r="B3" s="3" t="s">
        <v>2</v>
      </c>
      <c r="C3" s="3" t="s">
        <v>3</v>
      </c>
    </row>
    <row r="4" customFormat="false" ht="15.75" hidden="false" customHeight="true" outlineLevel="0" collapsed="false">
      <c r="A4" s="4" t="s">
        <v>4</v>
      </c>
      <c r="B4" s="5" t="n">
        <f aca="false">SUMIF(支出明细!B:B,"开发外包",支出明细!D:D)</f>
        <v>6700</v>
      </c>
      <c r="C4" s="6" t="s">
        <v>5</v>
      </c>
    </row>
    <row r="5" customFormat="false" ht="18.75" hidden="false" customHeight="true" outlineLevel="0" collapsed="false">
      <c r="A5" s="6" t="s">
        <v>6</v>
      </c>
      <c r="B5" s="5" t="n">
        <f aca="false">SUMIF(支出明细!B:B,"Claude Code",支出明细!D:D)</f>
        <v>130</v>
      </c>
      <c r="C5" s="4" t="s">
        <v>7</v>
      </c>
    </row>
    <row r="6" customFormat="false" ht="18.75" hidden="false" customHeight="true" outlineLevel="0" collapsed="false">
      <c r="A6" s="6" t="s">
        <v>8</v>
      </c>
      <c r="B6" s="5" t="n">
        <f aca="false">SUMIF(支出明细!B:B,"OpenAI",支出明细!D:D)</f>
        <v>130</v>
      </c>
      <c r="C6" s="6" t="s">
        <v>9</v>
      </c>
    </row>
    <row r="7" customFormat="false" ht="18.75" hidden="false" customHeight="true" outlineLevel="0" collapsed="false">
      <c r="A7" s="4" t="s">
        <v>10</v>
      </c>
      <c r="B7" s="5" t="n">
        <f aca="false">SUMIF(支出明细!B:B,"服务器",支出明细!D:D)</f>
        <v>64</v>
      </c>
      <c r="C7" s="6" t="s">
        <v>11</v>
      </c>
    </row>
    <row r="8" customFormat="false" ht="18.75" hidden="false" customHeight="true" outlineLevel="0" collapsed="false">
      <c r="A8" s="4" t="s">
        <v>12</v>
      </c>
      <c r="B8" s="5" t="n">
        <f aca="false">SUMIF(支出明细!B:B,"域名",支出明细!D:D)</f>
        <v>50</v>
      </c>
      <c r="C8" s="6" t="s">
        <v>13</v>
      </c>
    </row>
    <row r="9" customFormat="false" ht="18.75" hidden="false" customHeight="true" outlineLevel="0" collapsed="false">
      <c r="A9" s="6" t="s">
        <v>14</v>
      </c>
      <c r="B9" s="5" t="n">
        <f aca="false">SUMIF(支出明细!B:B,"GitHub",支出明细!D:D)</f>
        <v>40</v>
      </c>
      <c r="C9" s="6" t="s">
        <v>15</v>
      </c>
    </row>
    <row r="10" customFormat="false" ht="18.75" hidden="false" customHeight="true" outlineLevel="0" collapsed="false">
      <c r="A10" s="4" t="s">
        <v>16</v>
      </c>
      <c r="B10" s="5" t="n">
        <f aca="false">SUMIF(支出明细!B:B,"设计",支出明细!D:D)</f>
        <v>80</v>
      </c>
      <c r="C10" s="6" t="s">
        <v>17</v>
      </c>
    </row>
    <row r="11" customFormat="false" ht="18.75" hidden="false" customHeight="true" outlineLevel="0" collapsed="false">
      <c r="A11" s="4" t="s">
        <v>18</v>
      </c>
      <c r="B11" s="5" t="n">
        <f aca="false">SUMIF(支出明细!B:B,"杂项",支出明细!D:D)</f>
        <v>140</v>
      </c>
      <c r="C11" s="6" t="s">
        <v>19</v>
      </c>
    </row>
    <row r="12" customFormat="false" ht="18.75" hidden="false" customHeight="true" outlineLevel="0" collapsed="false">
      <c r="A12" s="7" t="s">
        <v>20</v>
      </c>
      <c r="B12" s="8" t="n">
        <f aca="false">支出明细!D27</f>
        <v>7334</v>
      </c>
      <c r="C12" s="9"/>
    </row>
    <row r="13" customFormat="false" ht="18" hidden="false" customHeight="true" outlineLevel="0" collapsed="false"/>
    <row r="14" customFormat="false" ht="16.5" hidden="false" customHeight="true" outlineLevel="0" collapsed="false"/>
    <row r="15" customFormat="false" ht="16.5" hidden="false" customHeight="true" outlineLevel="0" collapsed="false"/>
    <row r="16" customFormat="false" ht="16.5" hidden="false" customHeight="true" outlineLevel="0" collapsed="false"/>
    <row r="17" customFormat="false" ht="16.5" hidden="false" customHeight="true" outlineLevel="0" collapsed="false"/>
    <row r="18" customFormat="false" ht="16.5" hidden="false" customHeight="true" outlineLevel="0" collapsed="false"/>
    <row r="19" customFormat="false" ht="15" hidden="false" customHeight="true" outlineLevel="0" collapsed="false"/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72"/>
    <col collapsed="false" customWidth="true" hidden="false" outlineLevel="0" max="6" min="6" style="0" width="12"/>
  </cols>
  <sheetData>
    <row r="1" customFormat="false" ht="20.85" hidden="false" customHeight="false" outlineLevel="0" collapsed="false">
      <c r="A1" s="2" t="s">
        <v>21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10" t="s">
        <v>22</v>
      </c>
      <c r="B2" s="10"/>
      <c r="C2" s="10"/>
      <c r="D2" s="10"/>
      <c r="E2" s="10"/>
      <c r="F2" s="10"/>
    </row>
    <row r="4" customFormat="false" ht="17.15" hidden="false" customHeight="false" outlineLevel="0" collapsed="false">
      <c r="A4" s="3" t="s">
        <v>23</v>
      </c>
      <c r="B4" s="3" t="s">
        <v>1</v>
      </c>
      <c r="C4" s="3" t="s">
        <v>24</v>
      </c>
      <c r="D4" s="3" t="s">
        <v>25</v>
      </c>
      <c r="E4" s="3" t="s">
        <v>26</v>
      </c>
      <c r="F4" s="3" t="s">
        <v>27</v>
      </c>
    </row>
    <row r="5" customFormat="false" ht="17.15" hidden="false" customHeight="false" outlineLevel="0" collapsed="false">
      <c r="A5" s="11" t="s">
        <v>28</v>
      </c>
      <c r="B5" s="11"/>
      <c r="C5" s="11"/>
      <c r="D5" s="11"/>
      <c r="E5" s="11"/>
      <c r="F5" s="11"/>
    </row>
    <row r="6" customFormat="false" ht="32.8" hidden="false" customHeight="false" outlineLevel="0" collapsed="false">
      <c r="A6" s="6" t="s">
        <v>29</v>
      </c>
      <c r="B6" s="4" t="s">
        <v>4</v>
      </c>
      <c r="C6" s="6" t="s">
        <v>30</v>
      </c>
      <c r="D6" s="12" t="n">
        <v>800</v>
      </c>
      <c r="E6" s="6" t="s">
        <v>31</v>
      </c>
      <c r="F6" s="6" t="s">
        <v>32</v>
      </c>
    </row>
    <row r="7" customFormat="false" ht="32.8" hidden="false" customHeight="false" outlineLevel="0" collapsed="false">
      <c r="A7" s="6" t="s">
        <v>33</v>
      </c>
      <c r="B7" s="4" t="s">
        <v>4</v>
      </c>
      <c r="C7" s="6" t="s">
        <v>34</v>
      </c>
      <c r="D7" s="12" t="n">
        <v>900</v>
      </c>
      <c r="E7" s="6" t="s">
        <v>35</v>
      </c>
      <c r="F7" s="6" t="s">
        <v>36</v>
      </c>
    </row>
    <row r="8" customFormat="false" ht="17.15" hidden="false" customHeight="false" outlineLevel="0" collapsed="false">
      <c r="A8" s="6" t="s">
        <v>37</v>
      </c>
      <c r="B8" s="4" t="s">
        <v>4</v>
      </c>
      <c r="C8" s="6" t="s">
        <v>38</v>
      </c>
      <c r="D8" s="12" t="n">
        <v>850</v>
      </c>
      <c r="E8" s="6" t="s">
        <v>39</v>
      </c>
      <c r="F8" s="6" t="s">
        <v>32</v>
      </c>
    </row>
    <row r="9" customFormat="false" ht="17.15" hidden="false" customHeight="false" outlineLevel="0" collapsed="false">
      <c r="A9" s="6" t="s">
        <v>40</v>
      </c>
      <c r="B9" s="4" t="s">
        <v>41</v>
      </c>
      <c r="C9" s="4" t="s">
        <v>42</v>
      </c>
      <c r="D9" s="12" t="n">
        <v>32</v>
      </c>
      <c r="E9" s="6" t="s">
        <v>43</v>
      </c>
      <c r="F9" s="6"/>
    </row>
    <row r="10" customFormat="false" ht="17.15" hidden="false" customHeight="false" outlineLevel="0" collapsed="false">
      <c r="A10" s="6" t="s">
        <v>44</v>
      </c>
      <c r="B10" s="4" t="s">
        <v>45</v>
      </c>
      <c r="C10" s="6" t="s">
        <v>46</v>
      </c>
      <c r="D10" s="12" t="n">
        <v>50</v>
      </c>
      <c r="E10" s="6" t="s">
        <v>13</v>
      </c>
      <c r="F10" s="6"/>
    </row>
    <row r="11" customFormat="false" ht="32.8" hidden="false" customHeight="false" outlineLevel="0" collapsed="false">
      <c r="A11" s="6" t="s">
        <v>47</v>
      </c>
      <c r="B11" s="4" t="s">
        <v>4</v>
      </c>
      <c r="C11" s="6" t="s">
        <v>48</v>
      </c>
      <c r="D11" s="12" t="n">
        <v>800</v>
      </c>
      <c r="E11" s="4" t="s">
        <v>49</v>
      </c>
      <c r="F11" s="6" t="s">
        <v>32</v>
      </c>
    </row>
    <row r="12" customFormat="false" ht="32.8" hidden="false" customHeight="false" outlineLevel="0" collapsed="false">
      <c r="A12" s="6" t="s">
        <v>50</v>
      </c>
      <c r="B12" s="4" t="s">
        <v>4</v>
      </c>
      <c r="C12" s="6" t="s">
        <v>51</v>
      </c>
      <c r="D12" s="12" t="n">
        <v>1000</v>
      </c>
      <c r="E12" s="6" t="s">
        <v>52</v>
      </c>
      <c r="F12" s="6" t="s">
        <v>53</v>
      </c>
    </row>
    <row r="13" customFormat="false" ht="17.15" hidden="false" customHeight="false" outlineLevel="0" collapsed="false">
      <c r="A13" s="6" t="s">
        <v>54</v>
      </c>
      <c r="B13" s="6" t="s">
        <v>55</v>
      </c>
      <c r="C13" s="6" t="s">
        <v>56</v>
      </c>
      <c r="D13" s="12" t="n">
        <v>100</v>
      </c>
      <c r="E13" s="6" t="s">
        <v>57</v>
      </c>
      <c r="F13" s="6"/>
    </row>
    <row r="14" customFormat="false" ht="17.15" hidden="false" customHeight="false" outlineLevel="0" collapsed="false">
      <c r="A14" s="6" t="s">
        <v>58</v>
      </c>
      <c r="B14" s="4" t="s">
        <v>18</v>
      </c>
      <c r="C14" s="6" t="s">
        <v>59</v>
      </c>
      <c r="D14" s="12" t="n">
        <v>60</v>
      </c>
      <c r="E14" s="4" t="s">
        <v>60</v>
      </c>
      <c r="F14" s="6"/>
    </row>
    <row r="15" customFormat="false" ht="17.15" hidden="false" customHeight="false" outlineLevel="0" collapsed="false">
      <c r="A15" s="6" t="s">
        <v>61</v>
      </c>
      <c r="B15" s="4" t="s">
        <v>62</v>
      </c>
      <c r="C15" s="6" t="s">
        <v>63</v>
      </c>
      <c r="D15" s="12" t="n">
        <v>80</v>
      </c>
      <c r="E15" s="6" t="s">
        <v>64</v>
      </c>
      <c r="F15" s="6"/>
    </row>
    <row r="16" customFormat="false" ht="17.15" hidden="false" customHeight="false" outlineLevel="0" collapsed="false">
      <c r="A16" s="6" t="s">
        <v>61</v>
      </c>
      <c r="B16" s="4" t="s">
        <v>4</v>
      </c>
      <c r="C16" s="6" t="s">
        <v>65</v>
      </c>
      <c r="D16" s="12" t="n">
        <v>750</v>
      </c>
      <c r="E16" s="4" t="s">
        <v>66</v>
      </c>
      <c r="F16" s="6" t="s">
        <v>67</v>
      </c>
    </row>
    <row r="17" customFormat="false" ht="17.15" hidden="false" customHeight="false" outlineLevel="0" collapsed="false">
      <c r="A17" s="6" t="s">
        <v>68</v>
      </c>
      <c r="B17" s="6" t="s">
        <v>69</v>
      </c>
      <c r="C17" s="6" t="s">
        <v>70</v>
      </c>
      <c r="D17" s="12" t="n">
        <v>40</v>
      </c>
      <c r="E17" s="6" t="s">
        <v>71</v>
      </c>
      <c r="F17" s="6"/>
    </row>
    <row r="18" customFormat="false" ht="17.15" hidden="false" customHeight="false" outlineLevel="0" collapsed="false">
      <c r="A18" s="6" t="s">
        <v>68</v>
      </c>
      <c r="B18" s="4" t="s">
        <v>18</v>
      </c>
      <c r="C18" s="4" t="s">
        <v>72</v>
      </c>
      <c r="D18" s="12" t="n">
        <v>80</v>
      </c>
      <c r="E18" s="4" t="s">
        <v>73</v>
      </c>
      <c r="F18" s="6"/>
    </row>
    <row r="19" customFormat="false" ht="17.15" hidden="false" customHeight="false" outlineLevel="0" collapsed="false">
      <c r="A19" s="6" t="s">
        <v>68</v>
      </c>
      <c r="B19" s="6" t="s">
        <v>6</v>
      </c>
      <c r="C19" s="6" t="s">
        <v>74</v>
      </c>
      <c r="D19" s="12" t="n">
        <v>50</v>
      </c>
      <c r="E19" s="6" t="s">
        <v>75</v>
      </c>
      <c r="F19" s="6"/>
    </row>
    <row r="20" customFormat="false" ht="17.15" hidden="false" customHeight="false" outlineLevel="0" collapsed="false">
      <c r="A20" s="11" t="s">
        <v>76</v>
      </c>
      <c r="B20" s="11"/>
      <c r="C20" s="11"/>
      <c r="D20" s="11"/>
      <c r="E20" s="11"/>
      <c r="F20" s="11"/>
    </row>
    <row r="21" customFormat="false" ht="32.8" hidden="false" customHeight="false" outlineLevel="0" collapsed="false">
      <c r="A21" s="6" t="s">
        <v>77</v>
      </c>
      <c r="B21" s="4" t="s">
        <v>4</v>
      </c>
      <c r="C21" s="6" t="s">
        <v>78</v>
      </c>
      <c r="D21" s="12" t="n">
        <v>400</v>
      </c>
      <c r="E21" s="6" t="s">
        <v>79</v>
      </c>
      <c r="F21" s="6" t="s">
        <v>80</v>
      </c>
    </row>
    <row r="22" customFormat="false" ht="32.8" hidden="false" customHeight="false" outlineLevel="0" collapsed="false">
      <c r="A22" s="6" t="s">
        <v>81</v>
      </c>
      <c r="B22" s="4" t="s">
        <v>4</v>
      </c>
      <c r="C22" s="4" t="s">
        <v>82</v>
      </c>
      <c r="D22" s="12" t="n">
        <v>300</v>
      </c>
      <c r="E22" s="4" t="s">
        <v>83</v>
      </c>
      <c r="F22" s="6" t="s">
        <v>84</v>
      </c>
    </row>
    <row r="23" customFormat="false" ht="17.15" hidden="false" customHeight="false" outlineLevel="0" collapsed="false">
      <c r="A23" s="6" t="s">
        <v>81</v>
      </c>
      <c r="B23" s="4" t="s">
        <v>41</v>
      </c>
      <c r="C23" s="4" t="s">
        <v>42</v>
      </c>
      <c r="D23" s="12" t="n">
        <v>32</v>
      </c>
      <c r="E23" s="4" t="s">
        <v>85</v>
      </c>
      <c r="F23" s="6"/>
    </row>
    <row r="24" customFormat="false" ht="17.15" hidden="false" customHeight="false" outlineLevel="0" collapsed="false">
      <c r="A24" s="6" t="s">
        <v>86</v>
      </c>
      <c r="B24" s="6" t="s">
        <v>55</v>
      </c>
      <c r="C24" s="6" t="s">
        <v>56</v>
      </c>
      <c r="D24" s="12" t="n">
        <v>30</v>
      </c>
      <c r="E24" s="4" t="s">
        <v>87</v>
      </c>
      <c r="F24" s="6"/>
    </row>
    <row r="25" customFormat="false" ht="17.15" hidden="false" customHeight="false" outlineLevel="0" collapsed="false">
      <c r="A25" s="6" t="s">
        <v>86</v>
      </c>
      <c r="B25" s="6" t="s">
        <v>6</v>
      </c>
      <c r="C25" s="6" t="s">
        <v>74</v>
      </c>
      <c r="D25" s="12" t="n">
        <v>80</v>
      </c>
      <c r="E25" s="6" t="s">
        <v>88</v>
      </c>
      <c r="F25" s="6"/>
    </row>
    <row r="26" customFormat="false" ht="32.8" hidden="false" customHeight="false" outlineLevel="0" collapsed="false">
      <c r="A26" s="6" t="s">
        <v>89</v>
      </c>
      <c r="B26" s="4" t="s">
        <v>4</v>
      </c>
      <c r="C26" s="4" t="s">
        <v>90</v>
      </c>
      <c r="D26" s="12" t="n">
        <v>900</v>
      </c>
      <c r="E26" s="6" t="s">
        <v>91</v>
      </c>
      <c r="F26" s="6" t="s">
        <v>36</v>
      </c>
    </row>
    <row r="27" customFormat="false" ht="15" hidden="false" customHeight="false" outlineLevel="0" collapsed="false">
      <c r="A27" s="7" t="s">
        <v>92</v>
      </c>
      <c r="B27" s="9"/>
      <c r="C27" s="9"/>
      <c r="D27" s="8" t="n">
        <f aca="false">SUM(D5:D26)</f>
        <v>7334</v>
      </c>
      <c r="E27" s="9"/>
      <c r="F27" s="9"/>
    </row>
  </sheetData>
  <mergeCells count="4">
    <mergeCell ref="A1:F1"/>
    <mergeCell ref="A2:F2"/>
    <mergeCell ref="A5:F5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5" min="5" style="1" width="50"/>
  </cols>
  <sheetData>
    <row r="1" customFormat="false" ht="21.75" hidden="false" customHeight="true" outlineLevel="0" collapsed="false">
      <c r="A1" s="13" t="s">
        <v>93</v>
      </c>
      <c r="B1" s="13"/>
      <c r="C1" s="13"/>
      <c r="D1" s="13"/>
      <c r="E1" s="13"/>
    </row>
    <row r="3" customFormat="false" ht="15.75" hidden="false" customHeight="true" outlineLevel="0" collapsed="false">
      <c r="A3" s="14" t="s">
        <v>94</v>
      </c>
      <c r="B3" s="14"/>
      <c r="C3" s="14"/>
      <c r="D3" s="14"/>
      <c r="E3" s="14"/>
    </row>
    <row r="5" customFormat="false" ht="18" hidden="false" customHeight="true" outlineLevel="0" collapsed="false">
      <c r="A5" s="15" t="s">
        <v>1</v>
      </c>
      <c r="B5" s="16" t="s">
        <v>95</v>
      </c>
      <c r="C5" s="16" t="s">
        <v>96</v>
      </c>
      <c r="D5" s="16" t="s">
        <v>97</v>
      </c>
      <c r="E5" s="15" t="s">
        <v>3</v>
      </c>
    </row>
    <row r="6" customFormat="false" ht="37.5" hidden="false" customHeight="true" outlineLevel="0" collapsed="false">
      <c r="A6" s="6" t="s">
        <v>98</v>
      </c>
      <c r="B6" s="17" t="n">
        <v>35</v>
      </c>
      <c r="C6" s="17" t="n">
        <v>550</v>
      </c>
      <c r="D6" s="17" t="n">
        <v>3500</v>
      </c>
      <c r="E6" s="18" t="s">
        <v>99</v>
      </c>
    </row>
    <row r="7" customFormat="false" ht="18.75" hidden="false" customHeight="true" outlineLevel="0" collapsed="false">
      <c r="A7" s="18" t="s">
        <v>41</v>
      </c>
      <c r="B7" s="17" t="n">
        <v>32</v>
      </c>
      <c r="C7" s="17" t="n">
        <v>100</v>
      </c>
      <c r="D7" s="17" t="n">
        <v>250</v>
      </c>
      <c r="E7" s="18" t="s">
        <v>100</v>
      </c>
    </row>
    <row r="8" customFormat="false" ht="18.75" hidden="false" customHeight="true" outlineLevel="0" collapsed="false">
      <c r="A8" s="18" t="s">
        <v>101</v>
      </c>
      <c r="B8" s="17" t="n">
        <v>0</v>
      </c>
      <c r="C8" s="17" t="n">
        <v>50</v>
      </c>
      <c r="D8" s="17" t="n">
        <v>150</v>
      </c>
      <c r="E8" s="6" t="s">
        <v>102</v>
      </c>
    </row>
    <row r="9" customFormat="false" ht="18.75" hidden="false" customHeight="true" outlineLevel="0" collapsed="false">
      <c r="A9" s="6" t="s">
        <v>103</v>
      </c>
      <c r="B9" s="17" t="n">
        <v>0</v>
      </c>
      <c r="C9" s="17" t="n">
        <v>20</v>
      </c>
      <c r="D9" s="17" t="n">
        <v>100</v>
      </c>
      <c r="E9" s="18" t="s">
        <v>104</v>
      </c>
    </row>
    <row r="10" customFormat="false" ht="18.75" hidden="false" customHeight="true" outlineLevel="0" collapsed="false">
      <c r="A10" s="18" t="s">
        <v>105</v>
      </c>
      <c r="B10" s="17" t="n">
        <v>0</v>
      </c>
      <c r="C10" s="17" t="n">
        <v>100</v>
      </c>
      <c r="D10" s="17" t="n">
        <v>600</v>
      </c>
      <c r="E10" s="18" t="s">
        <v>106</v>
      </c>
    </row>
    <row r="11" customFormat="false" ht="18.75" hidden="false" customHeight="true" outlineLevel="0" collapsed="false">
      <c r="A11" s="18" t="s">
        <v>107</v>
      </c>
      <c r="B11" s="17" t="n">
        <v>0</v>
      </c>
      <c r="C11" s="17" t="n">
        <v>30</v>
      </c>
      <c r="D11" s="17" t="n">
        <v>100</v>
      </c>
      <c r="E11" s="6" t="s">
        <v>108</v>
      </c>
    </row>
    <row r="12" customFormat="false" ht="18.75" hidden="false" customHeight="true" outlineLevel="0" collapsed="false">
      <c r="A12" s="18" t="s">
        <v>109</v>
      </c>
      <c r="B12" s="17" t="n">
        <v>5</v>
      </c>
      <c r="C12" s="17" t="n">
        <v>20</v>
      </c>
      <c r="D12" s="17" t="n">
        <v>50</v>
      </c>
      <c r="E12" s="18" t="s">
        <v>110</v>
      </c>
    </row>
    <row r="13" customFormat="false" ht="18" hidden="false" customHeight="true" outlineLevel="0" collapsed="false">
      <c r="A13" s="19" t="s">
        <v>111</v>
      </c>
      <c r="B13" s="20" t="n">
        <f aca="false">SUM(B6:B12)</f>
        <v>72</v>
      </c>
      <c r="C13" s="20" t="n">
        <f aca="false">SUM(C6:C12)</f>
        <v>870</v>
      </c>
      <c r="D13" s="20" t="n">
        <f aca="false">SUM(D6:D12)</f>
        <v>4750</v>
      </c>
      <c r="E13" s="21"/>
    </row>
    <row r="14" customFormat="false" ht="18" hidden="false" customHeight="true" outlineLevel="0" collapsed="false">
      <c r="A14" s="22" t="s">
        <v>112</v>
      </c>
      <c r="B14" s="23" t="n">
        <f aca="false">B13*12</f>
        <v>864</v>
      </c>
      <c r="C14" s="23" t="n">
        <f aca="false">C13*12</f>
        <v>10440</v>
      </c>
      <c r="D14" s="23" t="n">
        <f aca="false">D13*12</f>
        <v>57000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8"/>
  </cols>
  <sheetData>
    <row r="1" customFormat="false" ht="21.75" hidden="false" customHeight="true" outlineLevel="0" collapsed="false">
      <c r="A1" s="24" t="s">
        <v>113</v>
      </c>
      <c r="B1" s="24"/>
      <c r="C1" s="24"/>
      <c r="D1" s="24"/>
    </row>
    <row r="3" customFormat="false" ht="18" hidden="false" customHeight="true" outlineLevel="0" collapsed="false">
      <c r="A3" s="25" t="s">
        <v>114</v>
      </c>
      <c r="B3" s="25"/>
    </row>
    <row r="4" customFormat="false" ht="18.75" hidden="false" customHeight="true" outlineLevel="0" collapsed="false">
      <c r="A4" s="18" t="s">
        <v>115</v>
      </c>
      <c r="B4" s="26" t="n">
        <v>3</v>
      </c>
    </row>
    <row r="5" customFormat="false" ht="18.75" hidden="false" customHeight="true" outlineLevel="0" collapsed="false">
      <c r="A5" s="18" t="s">
        <v>116</v>
      </c>
      <c r="B5" s="26" t="n">
        <v>15</v>
      </c>
    </row>
    <row r="6" customFormat="false" ht="18.75" hidden="false" customHeight="true" outlineLevel="0" collapsed="false">
      <c r="A6" s="18" t="s">
        <v>117</v>
      </c>
      <c r="B6" s="26" t="n">
        <v>0.3</v>
      </c>
    </row>
    <row r="8" customFormat="false" ht="18" hidden="false" customHeight="true" outlineLevel="0" collapsed="false">
      <c r="A8" s="25" t="s">
        <v>118</v>
      </c>
      <c r="B8" s="25"/>
      <c r="C8" s="25"/>
      <c r="D8" s="25"/>
    </row>
    <row r="9" customFormat="false" ht="18.75" hidden="false" customHeight="true" outlineLevel="0" collapsed="false">
      <c r="A9" s="18" t="s">
        <v>119</v>
      </c>
      <c r="B9" s="27" t="n">
        <v>10000</v>
      </c>
    </row>
    <row r="10" customFormat="false" ht="18.75" hidden="false" customHeight="true" outlineLevel="0" collapsed="false">
      <c r="A10" s="18" t="s">
        <v>120</v>
      </c>
      <c r="B10" s="27" t="n">
        <v>9000</v>
      </c>
    </row>
    <row r="11" customFormat="false" ht="18.75" hidden="false" customHeight="true" outlineLevel="0" collapsed="false">
      <c r="A11" s="18" t="s">
        <v>121</v>
      </c>
      <c r="B11" s="27" t="n">
        <v>1000</v>
      </c>
    </row>
    <row r="12" customFormat="false" ht="18.75" hidden="false" customHeight="true" outlineLevel="0" collapsed="false">
      <c r="A12" s="18" t="s">
        <v>122</v>
      </c>
      <c r="B12" s="27" t="n">
        <v>2500</v>
      </c>
    </row>
    <row r="14" customFormat="false" ht="18" hidden="false" customHeight="true" outlineLevel="0" collapsed="false">
      <c r="A14" s="25" t="s">
        <v>123</v>
      </c>
      <c r="B14" s="25"/>
      <c r="C14" s="25"/>
      <c r="D14" s="25"/>
    </row>
    <row r="15" customFormat="false" ht="18" hidden="false" customHeight="true" outlineLevel="0" collapsed="false">
      <c r="A15" s="28" t="s">
        <v>124</v>
      </c>
    </row>
    <row r="16" customFormat="false" ht="18" hidden="false" customHeight="true" outlineLevel="0" collapsed="false">
      <c r="A16" s="29" t="s">
        <v>125</v>
      </c>
      <c r="B16" s="30" t="n">
        <f aca="false">B9*B4/1000000</f>
        <v>0.03</v>
      </c>
    </row>
    <row r="17" customFormat="false" ht="18" hidden="false" customHeight="true" outlineLevel="0" collapsed="false">
      <c r="A17" s="29" t="s">
        <v>126</v>
      </c>
      <c r="B17" s="30" t="n">
        <f aca="false">B12*B5/1000000</f>
        <v>0.0375</v>
      </c>
    </row>
    <row r="18" customFormat="false" ht="18" hidden="false" customHeight="true" outlineLevel="0" collapsed="false">
      <c r="A18" s="31" t="s">
        <v>127</v>
      </c>
      <c r="B18" s="32" t="n">
        <f aca="false">B16+B17</f>
        <v>0.0675</v>
      </c>
    </row>
    <row r="20" customFormat="false" ht="18" hidden="false" customHeight="true" outlineLevel="0" collapsed="false">
      <c r="A20" s="28" t="s">
        <v>128</v>
      </c>
    </row>
    <row r="21" customFormat="false" ht="18" hidden="false" customHeight="true" outlineLevel="0" collapsed="false">
      <c r="A21" s="29" t="s">
        <v>129</v>
      </c>
      <c r="B21" s="30" t="n">
        <f aca="false">B10*B6/1000000</f>
        <v>0.0027</v>
      </c>
    </row>
    <row r="22" customFormat="false" ht="18" hidden="false" customHeight="true" outlineLevel="0" collapsed="false">
      <c r="A22" s="29" t="s">
        <v>130</v>
      </c>
      <c r="B22" s="30" t="n">
        <f aca="false">B11*B4/1000000</f>
        <v>0.003</v>
      </c>
    </row>
    <row r="23" customFormat="false" ht="18" hidden="false" customHeight="true" outlineLevel="0" collapsed="false">
      <c r="A23" s="29" t="s">
        <v>126</v>
      </c>
      <c r="B23" s="30" t="n">
        <f aca="false">B12*B5/1000000</f>
        <v>0.0375</v>
      </c>
    </row>
    <row r="24" customFormat="false" ht="18" hidden="false" customHeight="true" outlineLevel="0" collapsed="false">
      <c r="A24" s="31" t="s">
        <v>131</v>
      </c>
      <c r="B24" s="32" t="n">
        <f aca="false">B21+B22+B23</f>
        <v>0.0432</v>
      </c>
    </row>
    <row r="25" customFormat="false" ht="18" hidden="false" customHeight="true" outlineLevel="0" collapsed="false">
      <c r="A25" s="29" t="s">
        <v>132</v>
      </c>
      <c r="B25" s="33" t="n">
        <f aca="false">1-B24/B18</f>
        <v>0.36</v>
      </c>
    </row>
    <row r="27" customFormat="false" ht="18" hidden="false" customHeight="true" outlineLevel="0" collapsed="false">
      <c r="A27" s="25" t="s">
        <v>133</v>
      </c>
      <c r="B27" s="25"/>
      <c r="C27" s="25"/>
      <c r="D27" s="25"/>
    </row>
    <row r="28" customFormat="false" ht="18" hidden="false" customHeight="true" outlineLevel="0" collapsed="false">
      <c r="A28" s="15" t="s">
        <v>134</v>
      </c>
      <c r="B28" s="15" t="s">
        <v>135</v>
      </c>
      <c r="C28" s="15" t="s">
        <v>136</v>
      </c>
      <c r="D28" s="15" t="s">
        <v>137</v>
      </c>
    </row>
    <row r="29" customFormat="false" ht="15" hidden="false" customHeight="true" outlineLevel="0" collapsed="false">
      <c r="A29" s="27" t="n">
        <v>50</v>
      </c>
      <c r="B29" s="34" t="n">
        <f aca="false">A29*30</f>
        <v>1500</v>
      </c>
      <c r="C29" s="35" t="n">
        <f aca="false">B29*$B$24</f>
        <v>64.8</v>
      </c>
      <c r="D29" s="35" t="n">
        <f aca="false">C29*12</f>
        <v>777.6</v>
      </c>
    </row>
    <row r="30" customFormat="false" ht="15" hidden="false" customHeight="true" outlineLevel="0" collapsed="false">
      <c r="A30" s="27" t="n">
        <v>200</v>
      </c>
      <c r="B30" s="34" t="n">
        <f aca="false">A30*30</f>
        <v>6000</v>
      </c>
      <c r="C30" s="35" t="n">
        <f aca="false">B30*$B$24</f>
        <v>259.2</v>
      </c>
      <c r="D30" s="35" t="n">
        <f aca="false">C30*12</f>
        <v>3110.4</v>
      </c>
    </row>
    <row r="31" customFormat="false" ht="15" hidden="false" customHeight="true" outlineLevel="0" collapsed="false">
      <c r="A31" s="27" t="n">
        <v>500</v>
      </c>
      <c r="B31" s="34" t="n">
        <f aca="false">A31*30</f>
        <v>15000</v>
      </c>
      <c r="C31" s="35" t="n">
        <f aca="false">B31*$B$24</f>
        <v>648</v>
      </c>
      <c r="D31" s="35" t="n">
        <f aca="false">C31*12</f>
        <v>7776</v>
      </c>
    </row>
    <row r="32" customFormat="false" ht="15" hidden="false" customHeight="true" outlineLevel="0" collapsed="false">
      <c r="A32" s="27" t="n">
        <v>1000</v>
      </c>
      <c r="B32" s="34" t="n">
        <f aca="false">A32*30</f>
        <v>30000</v>
      </c>
      <c r="C32" s="35" t="n">
        <f aca="false">B32*$B$24</f>
        <v>1296</v>
      </c>
      <c r="D32" s="35" t="n">
        <f aca="false">C32*12</f>
        <v>15552</v>
      </c>
    </row>
    <row r="33" customFormat="false" ht="15" hidden="false" customHeight="true" outlineLevel="0" collapsed="false">
      <c r="A33" s="27" t="n">
        <v>2000</v>
      </c>
      <c r="B33" s="34" t="n">
        <f aca="false">A33*30</f>
        <v>60000</v>
      </c>
      <c r="C33" s="35" t="n">
        <f aca="false">B33*$B$24</f>
        <v>2592</v>
      </c>
      <c r="D33" s="35" t="n">
        <f aca="false">C33*12</f>
        <v>31104</v>
      </c>
    </row>
    <row r="34" customFormat="false" ht="15" hidden="false" customHeight="true" outlineLevel="0" collapsed="false">
      <c r="A34" s="27" t="n">
        <v>5000</v>
      </c>
      <c r="B34" s="34" t="n">
        <f aca="false">A34*30</f>
        <v>150000</v>
      </c>
      <c r="C34" s="35" t="n">
        <f aca="false">B34*$B$24</f>
        <v>6480</v>
      </c>
      <c r="D34" s="35" t="n">
        <f aca="false">C34*12</f>
        <v>77760</v>
      </c>
    </row>
    <row r="35" customFormat="false" ht="15" hidden="false" customHeight="true" outlineLevel="0" collapsed="false">
      <c r="A35" s="27" t="n">
        <v>8000</v>
      </c>
      <c r="B35" s="34" t="n">
        <f aca="false">A35*30</f>
        <v>240000</v>
      </c>
      <c r="C35" s="35" t="n">
        <f aca="false">B35*$B$24</f>
        <v>10368</v>
      </c>
      <c r="D35" s="35" t="n">
        <f aca="false">C35*12</f>
        <v>124416</v>
      </c>
    </row>
  </sheetData>
  <mergeCells count="5">
    <mergeCell ref="A1:D1"/>
    <mergeCell ref="A3:B3"/>
    <mergeCell ref="A8:D8"/>
    <mergeCell ref="A14:D14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6" min="2" style="1" width="18"/>
  </cols>
  <sheetData>
    <row r="1" customFormat="false" ht="21.75" hidden="false" customHeight="true" outlineLevel="0" collapsed="false">
      <c r="A1" s="13" t="s">
        <v>138</v>
      </c>
      <c r="B1" s="13"/>
      <c r="C1" s="13"/>
      <c r="D1" s="13"/>
      <c r="E1" s="13"/>
      <c r="F1" s="13"/>
    </row>
    <row r="3" customFormat="false" ht="15.75" hidden="false" customHeight="true" outlineLevel="0" collapsed="false">
      <c r="A3" s="14" t="s">
        <v>139</v>
      </c>
      <c r="B3" s="14"/>
      <c r="C3" s="14"/>
      <c r="D3" s="14"/>
      <c r="E3" s="14"/>
      <c r="F3" s="14"/>
    </row>
    <row r="5" customFormat="false" ht="18" hidden="false" customHeight="true" outlineLevel="0" collapsed="false">
      <c r="A5" s="29" t="s">
        <v>140</v>
      </c>
      <c r="B5" s="36" t="n">
        <v>0.14</v>
      </c>
    </row>
    <row r="6" customFormat="false" ht="18" hidden="false" customHeight="true" outlineLevel="0" collapsed="false">
      <c r="A6" s="29" t="s">
        <v>141</v>
      </c>
      <c r="B6" s="37" t="n">
        <v>0.08</v>
      </c>
    </row>
    <row r="8" customFormat="false" ht="18" hidden="false" customHeight="true" outlineLevel="0" collapsed="false">
      <c r="A8" s="15" t="s">
        <v>142</v>
      </c>
      <c r="B8" s="15" t="s">
        <v>143</v>
      </c>
      <c r="C8" s="15" t="s">
        <v>144</v>
      </c>
      <c r="D8" s="15" t="s">
        <v>145</v>
      </c>
      <c r="E8" s="15" t="s">
        <v>146</v>
      </c>
      <c r="F8" s="15" t="s">
        <v>147</v>
      </c>
    </row>
    <row r="9" customFormat="false" ht="18.75" hidden="false" customHeight="true" outlineLevel="0" collapsed="false">
      <c r="A9" s="18" t="s">
        <v>148</v>
      </c>
      <c r="B9" s="27" t="n">
        <v>100</v>
      </c>
      <c r="C9" s="27" t="n">
        <v>3500</v>
      </c>
      <c r="D9" s="38" t="n">
        <f aca="false">B9*C9</f>
        <v>350000</v>
      </c>
      <c r="E9" s="38" t="n">
        <f aca="false">D9*$B$6</f>
        <v>28000</v>
      </c>
      <c r="F9" s="35" t="n">
        <f aca="false">E9*$B$5</f>
        <v>3920</v>
      </c>
    </row>
    <row r="10" customFormat="false" ht="18.75" hidden="false" customHeight="true" outlineLevel="0" collapsed="false">
      <c r="A10" s="18" t="s">
        <v>149</v>
      </c>
      <c r="B10" s="27" t="n">
        <v>1000</v>
      </c>
      <c r="C10" s="27" t="n">
        <v>3800</v>
      </c>
      <c r="D10" s="38" t="n">
        <f aca="false">B10*C10</f>
        <v>3800000</v>
      </c>
      <c r="E10" s="38" t="n">
        <f aca="false">D10*$B$6</f>
        <v>304000</v>
      </c>
      <c r="F10" s="35" t="n">
        <f aca="false">E10*$B$5</f>
        <v>42560</v>
      </c>
    </row>
    <row r="11" customFormat="false" ht="18.75" hidden="false" customHeight="true" outlineLevel="0" collapsed="false">
      <c r="A11" s="18" t="s">
        <v>150</v>
      </c>
      <c r="B11" s="27" t="n">
        <v>5000</v>
      </c>
      <c r="C11" s="27" t="n">
        <v>4000</v>
      </c>
      <c r="D11" s="38" t="n">
        <f aca="false">B11*C11</f>
        <v>20000000</v>
      </c>
      <c r="E11" s="38" t="n">
        <f aca="false">D11*$B$6</f>
        <v>1600000</v>
      </c>
      <c r="F11" s="35" t="n">
        <f aca="false">E11*$B$5</f>
        <v>224000</v>
      </c>
    </row>
    <row r="14" customFormat="false" ht="18" hidden="false" customHeight="true" outlineLevel="0" collapsed="false">
      <c r="A14" s="25" t="s">
        <v>151</v>
      </c>
      <c r="B14" s="25"/>
      <c r="C14" s="25"/>
      <c r="D14" s="25"/>
      <c r="E14" s="25"/>
      <c r="F14" s="25"/>
    </row>
    <row r="15" customFormat="false" ht="18" hidden="false" customHeight="true" outlineLevel="0" collapsed="false">
      <c r="A15" s="15" t="s">
        <v>142</v>
      </c>
      <c r="B15" s="15" t="s">
        <v>147</v>
      </c>
      <c r="C15" s="15" t="s">
        <v>152</v>
      </c>
      <c r="D15" s="15" t="s">
        <v>153</v>
      </c>
      <c r="E15" s="15" t="s">
        <v>154</v>
      </c>
      <c r="F15" s="15"/>
    </row>
    <row r="16" customFormat="false" ht="18.75" hidden="false" customHeight="true" outlineLevel="0" collapsed="false">
      <c r="A16" s="18" t="s">
        <v>148</v>
      </c>
      <c r="B16" s="39" t="n">
        <f aca="false">F9</f>
        <v>3920</v>
      </c>
      <c r="C16" s="39" t="n">
        <f aca="false">月成本预估!C13</f>
        <v>870</v>
      </c>
      <c r="D16" s="40" t="n">
        <f aca="false">B16/C16</f>
        <v>4.50574712643678</v>
      </c>
      <c r="E16" s="41" t="n">
        <f aca="false">E9/D9</f>
        <v>0.08</v>
      </c>
    </row>
    <row r="17" customFormat="false" ht="18.75" hidden="false" customHeight="true" outlineLevel="0" collapsed="false">
      <c r="A17" s="18" t="s">
        <v>149</v>
      </c>
      <c r="B17" s="39" t="n">
        <f aca="false">F10</f>
        <v>42560</v>
      </c>
      <c r="C17" s="39" t="n">
        <f aca="false">月成本预估!D13</f>
        <v>4750</v>
      </c>
      <c r="D17" s="40" t="n">
        <f aca="false">B17/C17</f>
        <v>8.96</v>
      </c>
      <c r="E17" s="41" t="n">
        <f aca="false">E10/D10</f>
        <v>0.08</v>
      </c>
    </row>
    <row r="18" customFormat="false" ht="18.75" hidden="false" customHeight="true" outlineLevel="0" collapsed="false">
      <c r="A18" s="18" t="s">
        <v>150</v>
      </c>
      <c r="B18" s="39" t="n">
        <f aca="false">F11</f>
        <v>224000</v>
      </c>
      <c r="C18" s="39" t="n">
        <f aca="false">月成本预估!D13*1.5</f>
        <v>7125</v>
      </c>
      <c r="D18" s="40" t="n">
        <f aca="false">B18/C18</f>
        <v>31.4385964912281</v>
      </c>
      <c r="E18" s="41" t="n">
        <f aca="false">E11/D11</f>
        <v>0.08</v>
      </c>
    </row>
    <row r="20" customFormat="false" ht="18" hidden="false" customHeight="true" outlineLevel="0" collapsed="false">
      <c r="A20" s="42" t="s">
        <v>155</v>
      </c>
      <c r="B20" s="42"/>
      <c r="C20" s="42"/>
      <c r="D20" s="42"/>
      <c r="E20" s="42"/>
      <c r="F20" s="42"/>
    </row>
  </sheetData>
  <mergeCells count="4">
    <mergeCell ref="A1:F1"/>
    <mergeCell ref="A3:F3"/>
    <mergeCell ref="A14:F14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2026-04-30T04:50:55Z</dcterms:created>
  <dc:creator>openpyxl</dc:creator>
  <dc:description/>
  <dc:language>en-US</dc:language>
  <cp:lastModifiedBy>Sibo Wang</cp:lastModifiedBy>
  <dcterms:modified xsi:type="dcterms:W3CDTF">2026-05-21T05:55:43Z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